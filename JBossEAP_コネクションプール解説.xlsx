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結論" sheetId="1" state="visible" r:id="rId1"/>
    <sheet xmlns:r="http://schemas.openxmlformats.org/officeDocument/2006/relationships" name="02_たとえ話" sheetId="2" state="visible" r:id="rId2"/>
    <sheet xmlns:r="http://schemas.openxmlformats.org/officeDocument/2006/relationships" name="03_歴史" sheetId="3" state="visible" r:id="rId3"/>
    <sheet xmlns:r="http://schemas.openxmlformats.org/officeDocument/2006/relationships" name="04_構成と数" sheetId="4" state="visible" r:id="rId4"/>
    <sheet xmlns:r="http://schemas.openxmlformats.org/officeDocument/2006/relationships" name="05_プールの中" sheetId="5" state="visible" r:id="rId5"/>
    <sheet xmlns:r="http://schemas.openxmlformats.org/officeDocument/2006/relationships" name="06_タイムアウト辞典" sheetId="6" state="visible" r:id="rId6"/>
    <sheet xmlns:r="http://schemas.openxmlformats.org/officeDocument/2006/relationships" name="07_判定" sheetId="7" state="visible" r:id="rId7"/>
    <sheet xmlns:r="http://schemas.openxmlformats.org/officeDocument/2006/relationships" name="08_2つのDBと2PC" sheetId="8" state="visible" r:id="rId8"/>
    <sheet xmlns:r="http://schemas.openxmlformats.org/officeDocument/2006/relationships" name="09_ProxyとAurora" sheetId="9" state="visible" r:id="rId9"/>
    <sheet xmlns:r="http://schemas.openxmlformats.org/officeDocument/2006/relationships" name="10_確認手順" sheetId="10" state="visible" r:id="rId10"/>
    <sheet xmlns:r="http://schemas.openxmlformats.org/officeDocument/2006/relationships" name="11_対処の順序" sheetId="11" state="visible" r:id="rId11"/>
    <sheet xmlns:r="http://schemas.openxmlformats.org/officeDocument/2006/relationships" name="12_用語" sheetId="12" state="visible" r:id="rId12"/>
    <sheet xmlns:r="http://schemas.openxmlformats.org/officeDocument/2006/relationships" name="13_出典と限界" sheetId="13" state="visible" r:id="rId13"/>
  </sheets>
  <definedNames>
    <definedName name="_xlnm._FilterDatabase" localSheetId="0" hidden="1">'01_結論'!$A$4:$F$11</definedName>
    <definedName name="_xlnm.Print_Titles" localSheetId="0">'01_結論'!$1:$4</definedName>
    <definedName name="_xlnm.Print_Area" localSheetId="0">'01_結論'!$A$1:$F$11</definedName>
    <definedName name="_xlnm._FilterDatabase" localSheetId="1" hidden="1">'02_たとえ話'!$A$4:$D$13</definedName>
    <definedName name="_xlnm.Print_Titles" localSheetId="1">'02_たとえ話'!$1:$4</definedName>
    <definedName name="_xlnm.Print_Area" localSheetId="1">'02_たとえ話'!$A$1:$D$13</definedName>
    <definedName name="_xlnm._FilterDatabase" localSheetId="2" hidden="1">'03_歴史'!$A$4:$D$15</definedName>
    <definedName name="_xlnm.Print_Titles" localSheetId="2">'03_歴史'!$1:$4</definedName>
    <definedName name="_xlnm.Print_Area" localSheetId="2">'03_歴史'!$A$1:$D$15</definedName>
    <definedName name="_xlnm._FilterDatabase" localSheetId="3" hidden="1">'04_構成と数'!$A$4:$F$12</definedName>
    <definedName name="_xlnm.Print_Titles" localSheetId="3">'04_構成と数'!$1:$4</definedName>
    <definedName name="_xlnm.Print_Area" localSheetId="3">'04_構成と数'!$A$1:$F$35</definedName>
    <definedName name="_xlnm._FilterDatabase" localSheetId="4" hidden="1">'05_プールの中'!$A$4:$D$12</definedName>
    <definedName name="_xlnm.Print_Titles" localSheetId="4">'05_プールの中'!$1:$4</definedName>
    <definedName name="_xlnm.Print_Area" localSheetId="4">'05_プールの中'!$A$1:$D$21</definedName>
    <definedName name="_xlnm._FilterDatabase" localSheetId="5" hidden="1">'06_タイムアウト辞典'!$A$4:$E$20</definedName>
    <definedName name="_xlnm.Print_Titles" localSheetId="5">'06_タイムアウト辞典'!$1:$4</definedName>
    <definedName name="_xlnm.Print_Area" localSheetId="5">'06_タイムアウト辞典'!$A$1:$E$20</definedName>
    <definedName name="_xlnm._FilterDatabase" localSheetId="6" hidden="1">'07_判定'!$A$4:$F$14</definedName>
    <definedName name="_xlnm.Print_Titles" localSheetId="6">'07_判定'!$1:$4</definedName>
    <definedName name="_xlnm.Print_Area" localSheetId="6">'07_判定'!$A$1:$F$14</definedName>
    <definedName name="_xlnm._FilterDatabase" localSheetId="7" hidden="1">'08_2つのDBと2PC'!$A$4:$C$12</definedName>
    <definedName name="_xlnm.Print_Titles" localSheetId="7">'08_2つのDBと2PC'!$1:$4</definedName>
    <definedName name="_xlnm.Print_Area" localSheetId="7">'08_2つのDBと2PC'!$A$1:$C$22</definedName>
    <definedName name="_xlnm._FilterDatabase" localSheetId="8" hidden="1">'09_ProxyとAurora'!$A$4:$C$13</definedName>
    <definedName name="_xlnm.Print_Titles" localSheetId="8">'09_ProxyとAurora'!$1:$4</definedName>
    <definedName name="_xlnm.Print_Area" localSheetId="8">'09_ProxyとAurora'!$A$1:$C$22</definedName>
    <definedName name="_xlnm._FilterDatabase" localSheetId="9" hidden="1">'10_確認手順'!$A$4:$D$14</definedName>
    <definedName name="_xlnm.Print_Titles" localSheetId="9">'10_確認手順'!$1:$4</definedName>
    <definedName name="_xlnm.Print_Area" localSheetId="9">'10_確認手順'!$A$1:$D$14</definedName>
    <definedName name="_xlnm._FilterDatabase" localSheetId="10" hidden="1">'11_対処の順序'!$A$4:$D$14</definedName>
    <definedName name="_xlnm.Print_Titles" localSheetId="10">'11_対処の順序'!$1:$4</definedName>
    <definedName name="_xlnm.Print_Area" localSheetId="10">'11_対処の順序'!$A$1:$D$21</definedName>
    <definedName name="_xlnm._FilterDatabase" localSheetId="11" hidden="1">'12_用語'!$A$4:$B$20</definedName>
    <definedName name="_xlnm.Print_Titles" localSheetId="11">'12_用語'!$1:$4</definedName>
    <definedName name="_xlnm.Print_Area" localSheetId="11">'12_用語'!$A$1:$B$20</definedName>
    <definedName name="_xlnm._FilterDatabase" localSheetId="12" hidden="1">'13_出典と限界'!$A$4:$B$13</definedName>
    <definedName name="_xlnm.Print_Titles" localSheetId="12">'13_出典と限界'!$1:$4</definedName>
    <definedName name="_xlnm.Print_Area" localSheetId="12">'13_出典と限界'!$A$1:$B$22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;(#,##0);0"/>
    <numFmt numFmtId="165" formatCode="#,##0;(#,##0);&quot;ちょうど&quot;"/>
  </numFmts>
  <fonts count="10">
    <font>
      <name val="Meiryo UI"/>
      <family val="2"/>
      <color theme="1"/>
      <sz val="11"/>
      <scheme val="minor"/>
    </font>
    <font>
      <name val="Meiryo UI"/>
      <b val="1"/>
      <color rgb="00FFFFFF"/>
      <sz val="18"/>
    </font>
    <font>
      <name val="Meiryo UI"/>
      <color rgb="001A1A1A"/>
      <sz val="11"/>
    </font>
    <font>
      <name val="Meiryo UI"/>
      <color rgb="00333333"/>
      <sz val="9"/>
    </font>
    <font>
      <name val="Meiryo UI"/>
      <b val="1"/>
      <color rgb="00FFFFFF"/>
      <sz val="10"/>
    </font>
    <font>
      <name val="Meiryo UI"/>
      <color rgb="001A1A1A"/>
      <sz val="10"/>
    </font>
    <font>
      <name val="Meiryo UI"/>
      <b val="1"/>
      <color rgb="001A1A1A"/>
      <sz val="12"/>
    </font>
    <font>
      <name val="Meiryo UI"/>
      <b val="1"/>
      <color rgb="00FFFFFF"/>
      <sz val="12"/>
    </font>
    <font>
      <name val="Meiryo UI"/>
      <b val="1"/>
      <color rgb="001A1A1A"/>
      <sz val="10"/>
    </font>
    <font>
      <name val="Meiryo UI"/>
      <color rgb="001A1A1A"/>
      <sz val="9"/>
    </font>
  </fonts>
  <fills count="10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E8E8E8"/>
      </patternFill>
    </fill>
    <fill>
      <patternFill patternType="solid">
        <fgColor rgb="00F7F7F7"/>
      </patternFill>
    </fill>
    <fill>
      <patternFill patternType="solid">
        <fgColor rgb="002C2C2C"/>
      </patternFill>
    </fill>
    <fill>
      <patternFill patternType="solid">
        <fgColor rgb="00FFFFFF"/>
      </patternFill>
    </fill>
    <fill>
      <patternFill patternType="solid">
        <fgColor rgb="00F4F4F4"/>
      </patternFill>
    </fill>
    <fill>
      <patternFill patternType="solid">
        <fgColor rgb="00EEEEEE"/>
      </patternFill>
    </fill>
    <fill>
      <patternFill patternType="solid">
        <fgColor rgb="004A4A4A"/>
      </patternFill>
    </fill>
  </fills>
  <borders count="8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" fontId="6" fillId="8" borderId="3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right" vertical="center" wrapText="1"/>
    </xf>
    <xf numFmtId="3" fontId="6" fillId="7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left" vertical="center" wrapText="1"/>
    </xf>
    <xf numFmtId="3" fontId="8" fillId="3" borderId="1" applyAlignment="1" pivotButton="0" quotePrefix="0" xfId="0">
      <alignment horizontal="right" vertical="center" wrapText="1"/>
    </xf>
    <xf numFmtId="164" fontId="8" fillId="3" borderId="1" applyAlignment="1" pivotButton="0" quotePrefix="0" xfId="0">
      <alignment horizontal="right" vertical="center" wrapText="1"/>
    </xf>
    <xf numFmtId="1" fontId="5" fillId="6" borderId="1" applyAlignment="1" pivotButton="0" quotePrefix="0" xfId="0">
      <alignment horizontal="right" vertical="center" wrapText="1"/>
    </xf>
    <xf numFmtId="3" fontId="5" fillId="6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right" vertical="center" wrapText="1"/>
    </xf>
    <xf numFmtId="1" fontId="5" fillId="7" borderId="1" applyAlignment="1" pivotButton="0" quotePrefix="0" xfId="0">
      <alignment horizontal="right" vertical="center" wrapText="1"/>
    </xf>
    <xf numFmtId="3" fontId="5" fillId="7" borderId="1" applyAlignment="1" pivotButton="0" quotePrefix="0" xfId="0">
      <alignment horizontal="right" vertical="center" wrapText="1"/>
    </xf>
    <xf numFmtId="164" fontId="5" fillId="7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right" vertical="center" wrapText="1"/>
    </xf>
    <xf numFmtId="165" fontId="5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解説</author>
  </authors>
  <commentList>
    <comment ref="B5" authorId="0" shapeId="0">
      <text>
        <t>サンプルです。本番のサービス台数に変えてください。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F11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8" defaultColWidth="12" defaultRowHeight="18"/>
  <cols>
    <col width="8" customWidth="1" min="1" max="1"/>
    <col width="28" customWidth="1" min="2" max="2"/>
    <col width="42" customWidth="1" min="3" max="3"/>
    <col width="55" customWidth="1" min="4" max="4"/>
    <col width="42" customWidth="1" min="5" max="5"/>
    <col width="36" customWidth="1" min="6" max="6"/>
  </cols>
  <sheetData>
    <row r="1" ht="36" customHeight="1">
      <c r="A1" s="1" t="inlineStr">
        <is>
          <t>結論    待てば空く接続と、タスクを入れ替えないと空かない接続</t>
        </is>
      </c>
    </row>
    <row r="2" ht="32" customHeight="1">
      <c r="A2" s="2" t="inlineStr">
        <is>
          <t>フロント最大15、バック最大20。アプリDBとインフラDBは別プール。2PCは Narayana。EAP 8.1 / IronJacamar 3.0.14。</t>
        </is>
      </c>
      <c r="B2" s="30" t="n"/>
      <c r="C2" s="30" t="n"/>
      <c r="D2" s="30" t="n"/>
      <c r="E2" s="30" t="n"/>
      <c r="F2" s="31" t="n"/>
    </row>
    <row r="3" ht="30" customHeight="1">
      <c r="A3" s="4" t="inlineStr">
        <is>
          <t>小学生向けの文を先に書き、右へ行くほど運用判断に使えます。初期・最小・最大以外の秒数は EAP と AWS の既定値です。実ファイルが優先します。</t>
        </is>
      </c>
      <c r="B3" s="30" t="n"/>
      <c r="C3" s="30" t="n"/>
      <c r="D3" s="30" t="n"/>
      <c r="E3" s="30" t="n"/>
      <c r="F3" s="31" t="n"/>
    </row>
    <row r="4" ht="25.05" customHeight="1">
      <c r="A4" s="6" t="inlineStr">
        <is>
          <t>番号</t>
        </is>
      </c>
      <c r="B4" s="6" t="inlineStr">
        <is>
          <t>見ているもの</t>
        </is>
      </c>
      <c r="C4" s="6" t="inlineStr">
        <is>
          <t>小学生向けの答え</t>
        </is>
      </c>
      <c r="D4" s="6" t="inlineStr">
        <is>
          <t>正確な動き</t>
        </is>
      </c>
      <c r="E4" s="6" t="inlineStr">
        <is>
          <t>この構成で起きること</t>
        </is>
      </c>
      <c r="F4" s="6" t="inlineStr">
        <is>
          <t>次に見ること</t>
        </is>
      </c>
    </row>
    <row r="5" ht="59.15000000000001" customHeight="1">
      <c r="A5" s="7" t="inlineStr">
        <is>
          <t>1</t>
        </is>
      </c>
      <c r="B5" s="8" t="inlineStr">
        <is>
          <t>棚に戻ったあとの暇な接続</t>
        </is>
      </c>
      <c r="C5" s="8" t="inlineStr">
        <is>
          <t>読み終わって棚に戻した本を、長いあいだ誰も借りなければ、図書館が片付けます。</t>
        </is>
      </c>
      <c r="D5" s="8" t="inlineStr">
        <is>
          <t>idle-timeout-minutes。未設定なら30分。IdleRemover は、全プールで一番短い値の半分の周期で見回り、棚の接続だけを破棄します。</t>
        </is>
      </c>
      <c r="E5" s="8" t="inlineStr">
        <is>
          <t>最大値まで借りられている状態は、この片付けでは減りません。暇な本を捨てても、貸し出し枠は最初から空いています。</t>
        </is>
      </c>
      <c r="F5" s="8" t="inlineStr">
        <is>
          <t>IdleCount。0より大きいなら、満杯が理由の失敗ではありません。</t>
        </is>
      </c>
    </row>
    <row r="6" ht="76.2" customHeight="1">
      <c r="A6" s="9" t="inlineStr">
        <is>
          <t>2</t>
        </is>
      </c>
      <c r="B6" s="10" t="inlineStr">
        <is>
          <t>新しい人が枠を待つ時間</t>
        </is>
      </c>
      <c r="C6" s="10" t="inlineStr">
        <is>
          <t>本が全部貸し出し中のとき、係員は少しだけ待って、無ければ「今は無理」と言います。待った人の失敗で、借りている人の本は戻りません。</t>
        </is>
      </c>
      <c r="D6" s="10" t="inlineStr">
        <is>
          <t>blocking-timeout-millis。管理属性名は blocking-timeout-wait-millis。既定30000ミリ秒。許可証を待つ時間だけで、新しいTCP接続を作る時間は含みません。切れると IJ000655。</t>
        </is>
      </c>
      <c r="E6" s="10" t="inlineStr">
        <is>
          <t>30秒ごとに失敗ログが増えても、InUseCount は減りません。次のリクエストも同じ枠を待ちます。</t>
        </is>
      </c>
      <c r="F6" s="10" t="inlineStr">
        <is>
          <t>BlockingFailureCount と TimedOut が増えているか。</t>
        </is>
      </c>
    </row>
    <row r="7" ht="76.2" customHeight="1">
      <c r="A7" s="7" t="inlineStr">
        <is>
          <t>3</t>
        </is>
      </c>
      <c r="B7" s="8" t="inlineStr">
        <is>
          <t>代わりに閉じた、という警告</t>
        </is>
      </c>
      <c r="C7" s="8" t="inlineStr">
        <is>
          <t>返し忘れて出口を出た人の本を、係員がその場で回収した記録です。あとで戻る予告ではありません。もう回収しています。</t>
        </is>
      </c>
      <c r="D7" s="8" t="inlineStr">
        <is>
          <t>IronJacamar 3.0.14 は debug が true のときだけ closeAll します。トランザクションが無ければその場で close。あれば afterCompletion で close し、IJ000100 を出します。</t>
        </is>
      </c>
      <c r="E7" s="8" t="inlineStr">
        <is>
          <t>警告が出た接続のハンドルは、そのログの時点で閉じる処理に入っています。別のリクエストがまだ枠を持っていれば、プールは満杯のままです。</t>
        </is>
      </c>
      <c r="F7" s="8" t="inlineStr">
        <is>
          <t>警告のスタックトレース。開いた行が閉じ忘れの場所です。</t>
        </is>
      </c>
    </row>
    <row r="8" ht="59.15000000000001" customHeight="1">
      <c r="A8" s="9" t="inlineStr">
        <is>
          <t>4</t>
        </is>
      </c>
      <c r="B8" s="10" t="inlineStr">
        <is>
          <t>トランザクションが持っている接続</t>
        </is>
      </c>
      <c r="C8" s="10" t="inlineStr">
        <is>
          <t>「この仕事が終わるまで本を持つ」と宣言した人の本は、仕事が終わるか、制限時間が来て仕事が失敗になるまで戻りません。</t>
        </is>
      </c>
      <c r="D8" s="10" t="inlineStr">
        <is>
          <t>Narayana の default-timeout。EAP 8.1 の既定は300秒。リーパーがロールバック側にし、完了処理でプールへ戻します。実行中SQLを必ず切るわけではありません。</t>
        </is>
      </c>
      <c r="E8" s="10" t="inlineStr">
        <is>
          <t>アプリDBとインフラDBの両方の枠を、2PCが終わるまで同時に使います。片方の遅さで両方のプールが埋まります。</t>
        </is>
      </c>
      <c r="F8" s="10" t="inlineStr">
        <is>
          <t>default-timeout の実値。300秒後に InUse が減るか。</t>
        </is>
      </c>
    </row>
    <row r="9" ht="59.15000000000001" customHeight="1">
      <c r="A9" s="7" t="inlineStr">
        <is>
          <t>5</t>
        </is>
      </c>
      <c r="B9" s="8" t="inlineStr">
        <is>
          <t>終わらないスレッドが持っている接続</t>
        </is>
      </c>
      <c r="C9" s="8" t="inlineStr">
        <is>
          <t>窓口に戻ってこない人が本を持っています。片付けの時間を待っても、その本は棚に戻りません。</t>
        </is>
      </c>
      <c r="D9" s="8" t="inlineStr">
        <is>
          <t>メソッドから戻るまで CCM は動きません。管理外スレッドで取った接続は debug でも追跡しません。idle-timeout の対象でもありません。</t>
        </is>
      </c>
      <c r="E9" s="8" t="inlineStr">
        <is>
          <t>そのJVMの台帳が残る限り、最大値の一部が死に枠になります。ECSではそのタスクの停止か入替で台帳が消えます。</t>
        </is>
      </c>
      <c r="F9" s="8" t="inlineStr">
        <is>
          <t>スレッドダンプ。接続を握ったまま BLOCKED や RUNNABLE のスレッド。</t>
        </is>
      </c>
    </row>
    <row r="10" ht="76.2" customHeight="1">
      <c r="A10" s="9" t="inlineStr">
        <is>
          <t>6</t>
        </is>
      </c>
      <c r="B10" s="10" t="inlineStr">
        <is>
          <t>プールに空きがあるのに借りられない</t>
        </is>
      </c>
      <c r="C10" s="10" t="inlineStr">
        <is>
          <t>貸出係の冊数には余裕があるのに、倉庫か受付が断っています。係員を交代しても、倉庫が一杯なら同じです。</t>
        </is>
      </c>
      <c r="D10" s="10" t="inlineStr">
        <is>
          <t>InUse が最大未満で IJ000453 の原因が通信失敗や Proxy のタイムアウトなら、作成先が拒否しています。blocking の30秒は作成待ちには適用されません。</t>
        </is>
      </c>
      <c r="E10" s="10" t="inlineStr">
        <is>
          <t>Proxy の借入待ちは既定120秒。クライアント無活動は30分でソケットを切る。Aurora の上限は最大ACU基準で、今のACUでは減りません。</t>
        </is>
      </c>
      <c r="F10" s="10" t="inlineStr">
        <is>
          <t>Threads_connected、Proxy の ClientConnections、ピン留め数、max_connections。</t>
        </is>
      </c>
    </row>
    <row r="11" ht="76.2" customHeight="1">
      <c r="A11" s="7" t="inlineStr">
        <is>
          <t>7</t>
        </is>
      </c>
      <c r="B11" s="8" t="inlineStr">
        <is>
          <t>タスクの入れ替え</t>
        </is>
      </c>
      <c r="C11" s="8" t="inlineStr">
        <is>
          <t>店を一度閉めて、新しい係員が空の台帳で開きます。倉庫に残した「確定待ちの仕事」は、店を閉めても消えません。</t>
        </is>
      </c>
      <c r="D11" s="8" t="inlineStr">
        <is>
          <t>ローリングアップデートはJVM内の InUse を捨てます。Aurora の XA PREPARE と行ロックは残ります。入替中は旧使用中＋新最小値が同時に開きます。</t>
        </is>
      </c>
      <c r="E11" s="8" t="inlineStr">
        <is>
          <t>コンテナのディスクが一時領域だけなら、新しいタスクの Narayana は古い XID を知りません。両方のDBで XA RECOVER を見てから捨てます。</t>
        </is>
      </c>
      <c r="F11" s="8" t="inlineStr">
        <is>
          <t>XA RECOVER と information_schema.innodb_trx。</t>
        </is>
      </c>
    </row>
  </sheetData>
  <autoFilter ref="A4:F11"/>
  <mergeCells count="3">
    <mergeCell ref="A3:F3"/>
    <mergeCell ref="A2:F2"/>
    <mergeCell ref="A1:F1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結論&amp;R&amp;"Meiryo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D13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22" customWidth="1" min="1" max="1"/>
    <col width="38" customWidth="1" min="2" max="2"/>
    <col width="55" customWidth="1" min="3" max="3"/>
    <col width="40" customWidth="1" min="4" max="4"/>
  </cols>
  <sheetData>
    <row r="1" ht="36" customHeight="1">
      <c r="A1" s="1" t="inlineStr">
        <is>
          <t>図書館のたとえ    3人の係員が別々に本を数えている</t>
        </is>
      </c>
    </row>
    <row r="2" ht="32" customHeight="1">
      <c r="A2" s="2" t="inlineStr">
        <is>
          <t>JBossのプール、RDS Proxy、Aurora は、それぞれ自分の冊数で断ります。</t>
        </is>
      </c>
      <c r="B2" s="30" t="n"/>
      <c r="C2" s="30" t="n"/>
      <c r="D2" s="31" t="n"/>
    </row>
    <row r="3" ht="30" customHeight="1">
      <c r="A3" s="4" t="inlineStr">
        <is>
          <t>左がたとえ、右が実体です。たとえと設定名を対応させて読んでください。</t>
        </is>
      </c>
      <c r="B3" s="30" t="n"/>
      <c r="C3" s="30" t="n"/>
      <c r="D3" s="31" t="n"/>
    </row>
    <row r="4" ht="25.05" customHeight="1">
      <c r="A4" s="6" t="inlineStr">
        <is>
          <t>たとえ</t>
        </is>
      </c>
      <c r="B4" s="6" t="inlineStr">
        <is>
          <t>実体</t>
        </is>
      </c>
      <c r="C4" s="6" t="inlineStr">
        <is>
          <t>何をする人か</t>
        </is>
      </c>
      <c r="D4" s="6" t="inlineStr">
        <is>
          <t>今回の数字</t>
        </is>
      </c>
    </row>
    <row r="5" ht="42.1" customHeight="1">
      <c r="A5" s="8" t="inlineStr">
        <is>
          <t>町の倉庫</t>
        </is>
      </c>
      <c r="B5" s="8" t="inlineStr">
        <is>
          <t>Aurora Serverless v2 MySQL 8.4</t>
        </is>
      </c>
      <c r="C5" s="8" t="inlineStr">
        <is>
          <t>本の実物を保管する。同時に出せる冊数は max_connections。</t>
        </is>
      </c>
      <c r="D5" s="8" t="inlineStr">
        <is>
          <t>上限は最大ACUから決まる。1 ACUなら既定90。8 ACUなら既定1000。</t>
        </is>
      </c>
    </row>
    <row r="6" ht="42.1" customHeight="1">
      <c r="A6" s="10" t="inlineStr">
        <is>
          <t>倉庫の受付</t>
        </is>
      </c>
      <c r="B6" s="10" t="inlineStr">
        <is>
          <t>RDS Proxy</t>
        </is>
      </c>
      <c r="C6" s="10" t="inlineStr">
        <is>
          <t>アプリと倉庫のあいだで本をまとめ、出しすぎを止める。</t>
        </is>
      </c>
      <c r="D6" s="10" t="inlineStr">
        <is>
          <t>既定で倉庫上限の100%まで。空きが無ければ120秒待って断る。</t>
        </is>
      </c>
    </row>
    <row r="7" ht="42.1" customHeight="1">
      <c r="A7" s="8" t="inlineStr">
        <is>
          <t>各店の貸出係</t>
        </is>
      </c>
      <c r="B7" s="8" t="inlineStr">
        <is>
          <t>JBoss EAP のプール。中身は IronJacamar</t>
        </is>
      </c>
      <c r="C7" s="8" t="inlineStr">
        <is>
          <t>決めた冊数だけ手元に置き、リクエストへ貸し出す。</t>
        </is>
      </c>
      <c r="D7" s="8" t="inlineStr">
        <is>
          <t>フロントはDBごとに初期2、最小2、最大15。バックは初期10、最小10、最大20。</t>
        </is>
      </c>
    </row>
    <row r="8" ht="42.1" customHeight="1">
      <c r="A8" s="10" t="inlineStr">
        <is>
          <t>本の種類が2つ</t>
        </is>
      </c>
      <c r="B8" s="10" t="inlineStr">
        <is>
          <t>アプリDBとインフラDB</t>
        </is>
      </c>
      <c r="C8" s="10" t="inlineStr">
        <is>
          <t>別の棚。片方の最大値を、もう片方と分け合わない。</t>
        </is>
      </c>
      <c r="D8" s="10" t="inlineStr">
        <is>
          <t>1タスクにプールは2つ。両方使う仕事は、両方の枠を1つずつ使う。</t>
        </is>
      </c>
    </row>
    <row r="9" ht="42.1" customHeight="1">
      <c r="A9" s="8" t="inlineStr">
        <is>
          <t>仕事の進行役</t>
        </is>
      </c>
      <c r="B9" s="8" t="inlineStr">
        <is>
          <t>Narayana</t>
        </is>
      </c>
      <c r="C9" s="8" t="inlineStr">
        <is>
          <t>2つの倉庫へ、準備できたか聞いてから両方を確定する。</t>
        </is>
      </c>
      <c r="D9" s="8" t="inlineStr">
        <is>
          <t>既定の寿命は300秒。0を指定すると上限は365日。</t>
        </is>
      </c>
    </row>
    <row r="10" ht="42.1" customHeight="1">
      <c r="A10" s="10" t="inlineStr">
        <is>
          <t>出口の係員</t>
        </is>
      </c>
      <c r="B10" s="10" t="inlineStr">
        <is>
          <t>Cached Connection Manager</t>
        </is>
      </c>
      <c r="C10" s="10" t="inlineStr">
        <is>
          <t>出し忘れた本を、出口で回収する。回収は debug が有効なとき。</t>
        </is>
      </c>
      <c r="D10" s="10" t="inlineStr">
        <is>
          <t>警告 IJ000100 は回収した記録。予告ではない。</t>
        </is>
      </c>
    </row>
    <row r="11" ht="34" customHeight="1">
      <c r="A11" s="8" t="inlineStr">
        <is>
          <t>開店時に並べる冊数</t>
        </is>
      </c>
      <c r="B11" s="8" t="inlineStr">
        <is>
          <t>initial-pool-size</t>
        </is>
      </c>
      <c r="C11" s="8" t="inlineStr">
        <is>
          <t>起動時に先に作る接続。</t>
        </is>
      </c>
      <c r="D11" s="8" t="inlineStr">
        <is>
          <t>フロント2、バック10。DBごとにこの数。</t>
        </is>
      </c>
    </row>
    <row r="12" ht="42.1" customHeight="1">
      <c r="A12" s="10" t="inlineStr">
        <is>
          <t>なるべく残す冊数</t>
        </is>
      </c>
      <c r="B12" s="10" t="inlineStr">
        <is>
          <t>min-pool-size</t>
        </is>
      </c>
      <c r="C12" s="10" t="inlineStr">
        <is>
          <t>維持したい数。既定では厳守ではない。</t>
        </is>
      </c>
      <c r="D12" s="10" t="inlineStr">
        <is>
          <t>pool-use-strict-min の既定は false。暇な本は最小より減り得る。</t>
        </is>
      </c>
    </row>
    <row r="13" ht="34" customHeight="1">
      <c r="A13" s="8" t="inlineStr">
        <is>
          <t>同時貸出の上限</t>
        </is>
      </c>
      <c r="B13" s="8" t="inlineStr">
        <is>
          <t>max-pool-size</t>
        </is>
      </c>
      <c r="C13" s="8" t="inlineStr">
        <is>
          <t>これを超えると、返却まで新しい人は待つ。</t>
        </is>
      </c>
      <c r="D13" s="8" t="inlineStr">
        <is>
          <t>フロント15、バック20。DBごと。</t>
        </is>
      </c>
    </row>
  </sheetData>
  <autoFilter ref="A4:D13"/>
  <mergeCells count="3">
    <mergeCell ref="A1:D1"/>
    <mergeCell ref="A3:D3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たとえ話&amp;R&amp;"Meiryo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D15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16" customWidth="1" min="1" max="1"/>
    <col width="42" customWidth="1" min="2" max="2"/>
    <col width="62" customWidth="1" min="3" max="3"/>
    <col width="36" customWidth="1" min="4" max="4"/>
  </cols>
  <sheetData>
    <row r="1" ht="36" customHeight="1">
      <c r="A1" s="1" t="inlineStr">
        <is>
          <t>プールが生まれた理由と、EAP 8.1 までの流れ</t>
        </is>
      </c>
    </row>
    <row r="2" ht="32" customHeight="1">
      <c r="A2" s="2" t="inlineStr">
        <is>
          <t>接続を毎回作ると、データベースは仕事より受付で忙しくなる。それを避けるためにプールが分かれてきました。</t>
        </is>
      </c>
      <c r="B2" s="30" t="n"/>
      <c r="C2" s="30" t="n"/>
      <c r="D2" s="31" t="n"/>
    </row>
    <row r="3" ht="30" customHeight="1">
      <c r="A3" s="4" t="inlineStr">
        <is>
          <t>年は公開や製品投入の目安です。EAP 8.1 の標準データソースは、2011年から続く IronJacamar の系譜です。</t>
        </is>
      </c>
      <c r="B3" s="30" t="n"/>
      <c r="C3" s="30" t="n"/>
      <c r="D3" s="31" t="n"/>
    </row>
    <row r="4" ht="25.05" customHeight="1">
      <c r="A4" s="6" t="inlineStr">
        <is>
          <t>時期</t>
        </is>
      </c>
      <c r="B4" s="6" t="inlineStr">
        <is>
          <t>できごと</t>
        </is>
      </c>
      <c r="C4" s="6" t="inlineStr">
        <is>
          <t>なぜ必要だったか</t>
        </is>
      </c>
      <c r="D4" s="6" t="inlineStr">
        <is>
          <t>今回との関係</t>
        </is>
      </c>
    </row>
    <row r="5" ht="42.1" customHeight="1">
      <c r="A5" s="8" t="inlineStr">
        <is>
          <t>1997年前後</t>
        </is>
      </c>
      <c r="B5" s="8" t="inlineStr">
        <is>
          <t>JDBC が広まる</t>
        </is>
      </c>
      <c r="C5" s="8" t="inlineStr">
        <is>
          <t>アプリが用事のたびに接続を開いて閉じていた。TCP、TLS、認証、サーバメモリがそのたびに必要。</t>
        </is>
      </c>
      <c r="D5" s="8" t="inlineStr">
        <is>
          <t>今も「プールを通さない接続」は同じコストを払う。</t>
        </is>
      </c>
    </row>
    <row r="6" ht="42.1" customHeight="1">
      <c r="A6" s="10" t="inlineStr">
        <is>
          <t>2001年</t>
        </is>
      </c>
      <c r="B6" s="10" t="inlineStr">
        <is>
          <t>J2EE 1.3 と JCA 1.0</t>
        </is>
      </c>
      <c r="C6" s="10" t="inlineStr">
        <is>
          <t>接続、トランザクション、セキュリティをアプリサーバがまとめて扱う規格が要った。</t>
        </is>
      </c>
      <c r="D6" s="10" t="inlineStr">
        <is>
          <t>EAP がプールを持つ直接の祖先。</t>
        </is>
      </c>
    </row>
    <row r="7" ht="42.1" customHeight="1">
      <c r="A7" s="8" t="inlineStr">
        <is>
          <t>2000年代前半</t>
        </is>
      </c>
      <c r="B7" s="8" t="inlineStr">
        <is>
          <t>Commons DBCP、C3P0、Proxool</t>
        </is>
      </c>
      <c r="C7" s="8" t="inlineStr">
        <is>
          <t>サーバの外でも使い回したかった。</t>
        </is>
      </c>
      <c r="D7" s="8" t="inlineStr">
        <is>
          <t>Spring 単体の時代の選択。今回のEAPとは別物。</t>
        </is>
      </c>
    </row>
    <row r="8" ht="42.1" customHeight="1">
      <c r="A8" s="10" t="inlineStr">
        <is>
          <t>2000年代</t>
        </is>
      </c>
      <c r="B8" s="10" t="inlineStr">
        <is>
          <t>JBoss の Minerva、その後の JBoss JCA</t>
        </is>
      </c>
      <c r="C8" s="10" t="inlineStr">
        <is>
          <t>AS の中に独自プールがあった。</t>
        </is>
      </c>
      <c r="D8" s="10" t="inlineStr">
        <is>
          <t>EAP 6 より前。設定の考え方が今と違う。</t>
        </is>
      </c>
    </row>
    <row r="9" ht="42.1" customHeight="1">
      <c r="A9" s="8" t="inlineStr">
        <is>
          <t>2009年</t>
        </is>
      </c>
      <c r="B9" s="8" t="inlineStr">
        <is>
          <t>IronJacamar 開始</t>
        </is>
      </c>
      <c r="C9" s="8" t="inlineStr">
        <is>
          <t>JCA を作り直し、接続の貸し借りを明確にした。中心は Jesper Pedersen。</t>
        </is>
      </c>
      <c r="D9" s="8" t="inlineStr">
        <is>
          <t>ログの IJ 番号はこの実装。</t>
        </is>
      </c>
    </row>
    <row r="10" ht="42.1" customHeight="1">
      <c r="A10" s="10" t="inlineStr">
        <is>
          <t>2011年</t>
        </is>
      </c>
      <c r="B10" s="10" t="inlineStr">
        <is>
          <t>JBoss AS 7 / EAP 6</t>
        </is>
      </c>
      <c r="C10" s="10" t="inlineStr">
        <is>
          <t>datasources サブシステムが今の形になる。</t>
        </is>
      </c>
      <c r="D10" s="10" t="inlineStr">
        <is>
          <t>min-pool-size という名前はここから続く。</t>
        </is>
      </c>
    </row>
    <row r="11" ht="42.1" customHeight="1">
      <c r="A11" s="8" t="inlineStr">
        <is>
          <t>2013年</t>
        </is>
      </c>
      <c r="B11" s="8" t="inlineStr">
        <is>
          <t>HikariCP</t>
        </is>
      </c>
      <c r="C11" s="8" t="inlineStr">
        <is>
          <t>小さく速いプールが欲しかった。JCA の外。のちに Spring Boot の既定。</t>
        </is>
      </c>
      <c r="D11" s="8" t="inlineStr">
        <is>
          <t>leakDetectionThreshold は警告が中心で、今回の自動回収とは違う。</t>
        </is>
      </c>
    </row>
    <row r="12" ht="59.15000000000001" customHeight="1">
      <c r="A12" s="10" t="inlineStr">
        <is>
          <t>2017年</t>
        </is>
      </c>
      <c r="B12" s="10" t="inlineStr">
        <is>
          <t>Agroal</t>
        </is>
      </c>
      <c r="C12" s="10" t="inlineStr">
        <is>
          <t>Hikari の教訓を踏まえた Red Hat の新しいプール。</t>
        </is>
      </c>
      <c r="D12" s="10" t="inlineStr">
        <is>
          <t>leak-timeout で貸し出しの回収ができる。属性名が min-size なので今回の設定ではない。</t>
        </is>
      </c>
    </row>
    <row r="13" ht="42.1" customHeight="1">
      <c r="A13" s="8" t="inlineStr">
        <is>
          <t>2023年</t>
        </is>
      </c>
      <c r="B13" s="8" t="inlineStr">
        <is>
          <t>EAP 8.0</t>
        </is>
      </c>
      <c r="C13" s="8" t="inlineStr">
        <is>
          <t>Jakarta EE 10。パッケージ名が jakarta になる。</t>
        </is>
      </c>
      <c r="D13" s="8" t="inlineStr">
        <is>
          <t>標準データソースは IronJacamar のまま。</t>
        </is>
      </c>
    </row>
    <row r="14" ht="42.1" customHeight="1">
      <c r="A14" s="10" t="inlineStr">
        <is>
          <t>2025年</t>
        </is>
      </c>
      <c r="B14" s="10" t="inlineStr">
        <is>
          <t>EAP 8.1</t>
        </is>
      </c>
      <c r="C14" s="10" t="inlineStr">
        <is>
          <t>Java 21 などを追加。同梱は IronJacamar 3.0.14.Final、Narayana 7.1.2.Final。</t>
        </is>
      </c>
      <c r="D14" s="10" t="inlineStr">
        <is>
          <t>この資料のソース読解はこの版。</t>
        </is>
      </c>
    </row>
    <row r="15" ht="42.1" customHeight="1">
      <c r="A15" s="8" t="inlineStr">
        <is>
          <t>いま</t>
        </is>
      </c>
      <c r="B15" s="8" t="inlineStr">
        <is>
          <t>RDS Proxy と Serverless v2</t>
        </is>
      </c>
      <c r="C15" s="8" t="inlineStr">
        <is>
          <t>タスク台数が増減しても、Aurora の接続数を受付で頭打ちにしたい。フェイルオーバー時にアプリ接続を維持したい。</t>
        </is>
      </c>
      <c r="D15" s="8" t="inlineStr">
        <is>
          <t>JBoss のプールの外側に、もう一段のプールがある。</t>
        </is>
      </c>
    </row>
  </sheetData>
  <autoFilter ref="A4:D15"/>
  <mergeCells count="3">
    <mergeCell ref="A1:D1"/>
    <mergeCell ref="A3:D3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歴史&amp;R&amp;"Meiryo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F35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36" customWidth="1" min="1" max="1"/>
    <col width="18" customWidth="1" min="2" max="2"/>
    <col width="34" customWidth="1" min="3" max="3"/>
    <col width="42" customWidth="1" min="4" max="4"/>
    <col width="16" customWidth="1" min="5" max="5"/>
    <col width="48" customWidth="1" min="6" max="6"/>
  </cols>
  <sheetData>
    <row r="1" ht="36" customHeight="1">
      <c r="A1" s="1" t="inlineStr">
        <is>
          <t>冊数の計算    サンプルのタスク数は灰色のセルで変えられます</t>
        </is>
      </c>
    </row>
    <row r="2" ht="32" customHeight="1">
      <c r="A2" s="2" t="inlineStr">
        <is>
          <t>アプリDBとインフラDBは別プールです。1タスクの最大は、フロント30、バック40です。</t>
        </is>
      </c>
      <c r="B2" s="30" t="n"/>
      <c r="C2" s="30" t="n"/>
      <c r="D2" s="30" t="n"/>
      <c r="E2" s="30" t="n"/>
      <c r="F2" s="31" t="n"/>
    </row>
    <row r="3" ht="30" customHeight="1">
      <c r="A3" s="4" t="inlineStr">
        <is>
          <t>サンプルはフロント2台、バック2台です。実際の台数に置き換えてください。数式が合計を計算します。</t>
        </is>
      </c>
      <c r="B3" s="30" t="n"/>
      <c r="C3" s="30" t="n"/>
      <c r="D3" s="30" t="n"/>
      <c r="E3" s="30" t="n"/>
      <c r="F3" s="31" t="n"/>
    </row>
    <row r="4" ht="25.05" customHeight="1">
      <c r="A4" s="6" t="inlineStr">
        <is>
          <t>項目</t>
        </is>
      </c>
      <c r="B4" s="6" t="inlineStr">
        <is>
          <t>値</t>
        </is>
      </c>
      <c r="C4" s="6" t="inlineStr">
        <is>
          <t>単位</t>
        </is>
      </c>
      <c r="D4" s="6" t="inlineStr">
        <is>
          <t>種別</t>
        </is>
      </c>
      <c r="E4" s="6" t="inlineStr"/>
      <c r="F4" s="6" t="inlineStr">
        <is>
          <t>メモ</t>
        </is>
      </c>
    </row>
    <row r="5" ht="24" customHeight="1">
      <c r="A5" s="8" t="inlineStr">
        <is>
          <t>サンプル フロントのタスク数</t>
        </is>
      </c>
      <c r="B5" s="11" t="n">
        <v>2</v>
      </c>
      <c r="C5" s="8" t="inlineStr">
        <is>
          <t>台</t>
        </is>
      </c>
      <c r="D5" s="8" t="inlineStr">
        <is>
          <t>サンプル入力</t>
        </is>
      </c>
      <c r="E5" s="8" t="n"/>
      <c r="F5" s="8" t="inlineStr">
        <is>
          <t>実際の台数に変更する</t>
        </is>
      </c>
    </row>
    <row r="6" ht="24" customHeight="1">
      <c r="A6" s="8" t="inlineStr">
        <is>
          <t>サンプル バックのタスク数</t>
        </is>
      </c>
      <c r="B6" s="11" t="n">
        <v>2</v>
      </c>
      <c r="C6" s="8" t="inlineStr">
        <is>
          <t>台</t>
        </is>
      </c>
      <c r="D6" s="8" t="inlineStr">
        <is>
          <t>サンプル入力</t>
        </is>
      </c>
      <c r="E6" s="8" t="n"/>
      <c r="F6" s="8" t="inlineStr">
        <is>
          <t>実際の台数に変更する</t>
        </is>
      </c>
    </row>
    <row r="7" ht="24" customHeight="1">
      <c r="A7" s="8" t="inlineStr">
        <is>
          <t>フロント 1プールの最小</t>
        </is>
      </c>
      <c r="B7" s="11" t="n">
        <v>2</v>
      </c>
      <c r="C7" s="8" t="inlineStr">
        <is>
          <t>本</t>
        </is>
      </c>
      <c r="D7" s="8" t="inlineStr">
        <is>
          <t>実設定</t>
        </is>
      </c>
      <c r="E7" s="8" t="n"/>
      <c r="F7" s="8" t="inlineStr">
        <is>
          <t>提示された設定</t>
        </is>
      </c>
    </row>
    <row r="8" ht="24" customHeight="1">
      <c r="A8" s="8" t="inlineStr">
        <is>
          <t>フロント 1プールの最大</t>
        </is>
      </c>
      <c r="B8" s="11" t="n">
        <v>15</v>
      </c>
      <c r="C8" s="8" t="inlineStr">
        <is>
          <t>本</t>
        </is>
      </c>
      <c r="D8" s="8" t="inlineStr">
        <is>
          <t>実設定</t>
        </is>
      </c>
      <c r="E8" s="8" t="n"/>
      <c r="F8" s="8" t="inlineStr">
        <is>
          <t>提示された設定</t>
        </is>
      </c>
    </row>
    <row r="9" ht="24" customHeight="1">
      <c r="A9" s="8" t="inlineStr">
        <is>
          <t>バック 1プールの最小</t>
        </is>
      </c>
      <c r="B9" s="11" t="n">
        <v>10</v>
      </c>
      <c r="C9" s="8" t="inlineStr">
        <is>
          <t>本</t>
        </is>
      </c>
      <c r="D9" s="8" t="inlineStr">
        <is>
          <t>実設定</t>
        </is>
      </c>
      <c r="E9" s="8" t="n"/>
      <c r="F9" s="8" t="inlineStr">
        <is>
          <t>提示された設定</t>
        </is>
      </c>
    </row>
    <row r="10" ht="24" customHeight="1">
      <c r="A10" s="8" t="inlineStr">
        <is>
          <t>バック 1プールの最大</t>
        </is>
      </c>
      <c r="B10" s="11" t="n">
        <v>20</v>
      </c>
      <c r="C10" s="8" t="inlineStr">
        <is>
          <t>本</t>
        </is>
      </c>
      <c r="D10" s="8" t="inlineStr">
        <is>
          <t>実設定</t>
        </is>
      </c>
      <c r="E10" s="8" t="n"/>
      <c r="F10" s="8" t="inlineStr">
        <is>
          <t>提示された設定</t>
        </is>
      </c>
    </row>
    <row r="11" ht="24" customHeight="1">
      <c r="A11" s="8" t="inlineStr">
        <is>
          <t>1コンテナのデータベース数</t>
        </is>
      </c>
      <c r="B11" s="11" t="n">
        <v>2</v>
      </c>
      <c r="C11" s="8" t="inlineStr">
        <is>
          <t>個</t>
        </is>
      </c>
      <c r="D11" s="8" t="inlineStr">
        <is>
          <t>構成</t>
        </is>
      </c>
      <c r="E11" s="8" t="n"/>
      <c r="F11" s="8" t="inlineStr">
        <is>
          <t>アプリDBとインフラDB</t>
        </is>
      </c>
    </row>
    <row r="12" ht="24" customHeight="1">
      <c r="A12" s="8" t="inlineStr">
        <is>
          <t>Aurora の最大ACU</t>
        </is>
      </c>
      <c r="B12" s="11" t="n">
        <v>8</v>
      </c>
      <c r="C12" s="8" t="inlineStr">
        <is>
          <t>ACU</t>
        </is>
      </c>
      <c r="D12" s="8" t="inlineStr">
        <is>
          <t>サンプル入力</t>
        </is>
      </c>
      <c r="E12" s="8" t="n"/>
      <c r="F12" s="8" t="inlineStr">
        <is>
          <t>1, 4, 8, 16, 32, 64, 128, 192, 256 から選ぶ</t>
        </is>
      </c>
    </row>
    <row r="13" ht="34" customHeight="1">
      <c r="A13" s="12" t="n"/>
      <c r="B13" s="12" t="n"/>
      <c r="C13" s="12" t="n"/>
      <c r="D13" s="12" t="n"/>
      <c r="E13" s="12" t="n"/>
      <c r="F13" s="12" t="n"/>
    </row>
    <row r="14" ht="34" customHeight="1">
      <c r="A14" s="13" t="inlineStr">
        <is>
          <t>計算結果（数式）  JBossからRDS Proxyへのクライアント接続</t>
        </is>
      </c>
      <c r="B14" s="30" t="n"/>
      <c r="C14" s="30" t="n"/>
      <c r="D14" s="30" t="n"/>
      <c r="E14" s="30" t="n"/>
      <c r="F14" s="31" t="n"/>
    </row>
    <row r="15" ht="34" customHeight="1">
      <c r="A15" s="6" t="inlineStr">
        <is>
          <t>項目</t>
        </is>
      </c>
      <c r="B15" s="6" t="inlineStr">
        <is>
          <t>本数</t>
        </is>
      </c>
      <c r="C15" s="6" t="inlineStr">
        <is>
          <t>式の意味</t>
        </is>
      </c>
      <c r="D15" s="6" t="inlineStr">
        <is>
          <t>判定</t>
        </is>
      </c>
      <c r="E15" s="6" t="inlineStr">
        <is>
          <t>差</t>
        </is>
      </c>
      <c r="F15" s="6" t="inlineStr">
        <is>
          <t>読み方</t>
        </is>
      </c>
    </row>
    <row r="16" ht="36" customHeight="1">
      <c r="A16" s="8" t="inlineStr">
        <is>
          <t>フロント全台の最小</t>
        </is>
      </c>
      <c r="B16" s="15">
        <f>B5*B7*B11</f>
        <v/>
      </c>
      <c r="C16" s="8" t="inlineStr">
        <is>
          <t>起動時に張り得る下限</t>
        </is>
      </c>
      <c r="D16" s="8" t="inlineStr">
        <is>
          <t>常時の下限</t>
        </is>
      </c>
      <c r="E16" s="32" t="n"/>
      <c r="F16" s="8" t="inlineStr">
        <is>
          <t>仕事が無くても、初期値どおり作るならこの本数がProxyに張る</t>
        </is>
      </c>
    </row>
    <row r="17" ht="36" customHeight="1">
      <c r="A17" s="10" t="inlineStr">
        <is>
          <t>フロント全台の最大</t>
        </is>
      </c>
      <c r="B17" s="16">
        <f>B5*B8*B11</f>
        <v/>
      </c>
      <c r="C17" s="10" t="inlineStr">
        <is>
          <t>同時貸出の上限</t>
        </is>
      </c>
      <c r="D17" s="10" t="inlineStr">
        <is>
          <t>同時に開き得る上限</t>
        </is>
      </c>
      <c r="E17" s="33" t="n"/>
      <c r="F17" s="10" t="inlineStr">
        <is>
          <t>両DBを同時に最大まで使ったときのクライアント接続</t>
        </is>
      </c>
    </row>
    <row r="18" ht="36" customHeight="1">
      <c r="A18" s="8" t="inlineStr">
        <is>
          <t>バック全台の最小</t>
        </is>
      </c>
      <c r="B18" s="15">
        <f>B6*B9*B11</f>
        <v/>
      </c>
      <c r="C18" s="8" t="inlineStr">
        <is>
          <t>起動時に張り得る下限</t>
        </is>
      </c>
      <c r="D18" s="8" t="inlineStr">
        <is>
          <t>常時の下限</t>
        </is>
      </c>
      <c r="E18" s="32" t="n"/>
      <c r="F18" s="8" t="inlineStr">
        <is>
          <t>バックの最小10は、台数に効きやすい</t>
        </is>
      </c>
    </row>
    <row r="19" ht="36" customHeight="1">
      <c r="A19" s="10" t="inlineStr">
        <is>
          <t>バック全台の最大</t>
        </is>
      </c>
      <c r="B19" s="16">
        <f>B6*B10*B11</f>
        <v/>
      </c>
      <c r="C19" s="10" t="inlineStr">
        <is>
          <t>同時貸出の上限</t>
        </is>
      </c>
      <c r="D19" s="10" t="inlineStr">
        <is>
          <t>同時に開き得る上限</t>
        </is>
      </c>
      <c r="E19" s="33" t="n"/>
      <c r="F19" s="10" t="inlineStr">
        <is>
          <t>バックは1台で最大40</t>
        </is>
      </c>
    </row>
    <row r="20" ht="36" customHeight="1">
      <c r="A20" s="8" t="inlineStr">
        <is>
          <t>全体の最小</t>
        </is>
      </c>
      <c r="B20" s="15">
        <f>B16+B18</f>
        <v/>
      </c>
      <c r="C20" s="8" t="inlineStr">
        <is>
          <t>常時接続の下限</t>
        </is>
      </c>
      <c r="D20" s="8" t="inlineStr">
        <is>
          <t>ピン留め時に残りやすい本数</t>
        </is>
      </c>
      <c r="E20" s="32" t="n"/>
      <c r="F20" s="8" t="inlineStr">
        <is>
          <t>ピン留め時は、この本数がAurora側にも残りやすい</t>
        </is>
      </c>
    </row>
    <row r="21" ht="36" customHeight="1">
      <c r="A21" s="10" t="inlineStr">
        <is>
          <t>全体の最大</t>
        </is>
      </c>
      <c r="B21" s="16">
        <f>B17+B19</f>
        <v/>
      </c>
      <c r="C21" s="10" t="inlineStr">
        <is>
          <t>JBossが開き得る上限</t>
        </is>
      </c>
      <c r="D21" s="10">
        <f>IF(B21&gt;B22,"倉庫の既定上限を超える","倉庫の既定上限に収まる")</f>
        <v/>
      </c>
      <c r="E21" s="34">
        <f>B21-B22</f>
        <v/>
      </c>
      <c r="F21" s="10" t="inlineStr">
        <is>
          <t>この数が max_connections を超えると、倉庫が先に断る</t>
        </is>
      </c>
    </row>
    <row r="22" ht="36" customHeight="1">
      <c r="A22" s="17" t="inlineStr">
        <is>
          <t>選んだ最大ACUの既定接続数</t>
        </is>
      </c>
      <c r="B22" s="18">
        <f>IFERROR(VLOOKUP(B12,A25:B33,2,FALSE),"表に無いACU")</f>
        <v/>
      </c>
      <c r="C22" s="17" t="inlineStr">
        <is>
          <t>全体最大との差（最大−上限）</t>
        </is>
      </c>
      <c r="D22" s="19">
        <f>IF(ISNUMBER(B22),B21-B22,"")</f>
        <v/>
      </c>
      <c r="E22" s="17" t="n"/>
      <c r="F22" s="17" t="inlineStr">
        <is>
          <t>正の差は、全プールが最大まで開くと倉庫の既定上限を超える、という意味</t>
        </is>
      </c>
    </row>
    <row r="23" ht="34" customHeight="1">
      <c r="A23" s="13" t="inlineStr">
        <is>
          <t>Aurora Serverless v2 MySQL の既定 max_connections（最大ACU基準、2026-10のAWS表）</t>
        </is>
      </c>
      <c r="B23" s="30" t="n"/>
      <c r="C23" s="30" t="n"/>
      <c r="D23" s="30" t="n"/>
      <c r="E23" s="30" t="n"/>
      <c r="F23" s="31" t="n"/>
    </row>
    <row r="24" ht="34" customHeight="1">
      <c r="A24" s="6" t="inlineStr">
        <is>
          <t>最大ACU</t>
        </is>
      </c>
      <c r="B24" s="6" t="inlineStr">
        <is>
          <t>既定の最大接続</t>
        </is>
      </c>
      <c r="C24" s="6" t="inlineStr">
        <is>
          <t>サンプル最大との差</t>
        </is>
      </c>
      <c r="D24" s="6" t="inlineStr">
        <is>
          <t>読み方</t>
        </is>
      </c>
      <c r="E24" s="6" t="inlineStr"/>
      <c r="F24" s="6" t="inlineStr"/>
    </row>
    <row r="25" ht="34" customHeight="1">
      <c r="A25" s="20" t="n">
        <v>1</v>
      </c>
      <c r="B25" s="21" t="n">
        <v>90</v>
      </c>
      <c r="C25" s="22">
        <f>B21-B25</f>
        <v/>
      </c>
      <c r="D25" s="8">
        <f>IF(B21&gt;B25,"最大側がこの上限を超える","最大側はこの上限に収まる")</f>
        <v/>
      </c>
      <c r="E25" s="8" t="n"/>
      <c r="F25" s="8" t="n"/>
    </row>
    <row r="26" ht="34" customHeight="1">
      <c r="A26" s="23" t="n">
        <v>4</v>
      </c>
      <c r="B26" s="24" t="n">
        <v>135</v>
      </c>
      <c r="C26" s="25">
        <f>B21-B26</f>
        <v/>
      </c>
      <c r="D26" s="10">
        <f>IF(B21&gt;B26,"最大側がこの上限を超える","最大側はこの上限に収まる")</f>
        <v/>
      </c>
      <c r="E26" s="10" t="n"/>
      <c r="F26" s="10" t="n"/>
    </row>
    <row r="27" ht="34" customHeight="1">
      <c r="A27" s="20" t="n">
        <v>8</v>
      </c>
      <c r="B27" s="21" t="n">
        <v>1000</v>
      </c>
      <c r="C27" s="22">
        <f>B21-B27</f>
        <v/>
      </c>
      <c r="D27" s="8">
        <f>IF(B21&gt;B27,"最大側がこの上限を超える","最大側はこの上限に収まる")</f>
        <v/>
      </c>
      <c r="E27" s="8" t="n"/>
      <c r="F27" s="8" t="n"/>
    </row>
    <row r="28" ht="34" customHeight="1">
      <c r="A28" s="23" t="n">
        <v>16</v>
      </c>
      <c r="B28" s="24" t="n">
        <v>2000</v>
      </c>
      <c r="C28" s="25">
        <f>B21-B28</f>
        <v/>
      </c>
      <c r="D28" s="10">
        <f>IF(B21&gt;B28,"最大側がこの上限を超える","最大側はこの上限に収まる")</f>
        <v/>
      </c>
      <c r="E28" s="10" t="n"/>
      <c r="F28" s="10" t="n"/>
    </row>
    <row r="29" ht="34" customHeight="1">
      <c r="A29" s="20" t="n">
        <v>32</v>
      </c>
      <c r="B29" s="21" t="n">
        <v>3000</v>
      </c>
      <c r="C29" s="22">
        <f>B21-B29</f>
        <v/>
      </c>
      <c r="D29" s="8">
        <f>IF(B21&gt;B29,"最大側がこの上限を超える","最大側はこの上限に収まる")</f>
        <v/>
      </c>
      <c r="E29" s="8" t="n"/>
      <c r="F29" s="8" t="n"/>
    </row>
    <row r="30" ht="34" customHeight="1">
      <c r="A30" s="23" t="n">
        <v>64</v>
      </c>
      <c r="B30" s="24" t="n">
        <v>4000</v>
      </c>
      <c r="C30" s="25">
        <f>B21-B30</f>
        <v/>
      </c>
      <c r="D30" s="10">
        <f>IF(B21&gt;B30,"最大側がこの上限を超える","最大側はこの上限に収まる")</f>
        <v/>
      </c>
      <c r="E30" s="10" t="n"/>
      <c r="F30" s="10" t="n"/>
    </row>
    <row r="31" ht="34" customHeight="1">
      <c r="A31" s="20" t="n">
        <v>128</v>
      </c>
      <c r="B31" s="21" t="n">
        <v>5000</v>
      </c>
      <c r="C31" s="22">
        <f>B21-B31</f>
        <v/>
      </c>
      <c r="D31" s="8">
        <f>IF(B21&gt;B31,"最大側がこの上限を超える","最大側はこの上限に収まる")</f>
        <v/>
      </c>
      <c r="E31" s="8" t="n"/>
      <c r="F31" s="8" t="n"/>
    </row>
    <row r="32" ht="34" customHeight="1">
      <c r="A32" s="23" t="n">
        <v>192</v>
      </c>
      <c r="B32" s="24" t="n">
        <v>6000</v>
      </c>
      <c r="C32" s="25">
        <f>B21-B32</f>
        <v/>
      </c>
      <c r="D32" s="10">
        <f>IF(B21&gt;B32,"最大側がこの上限を超える","最大側はこの上限に収まる")</f>
        <v/>
      </c>
      <c r="E32" s="10" t="n"/>
      <c r="F32" s="10" t="n"/>
    </row>
    <row r="33" ht="34" customHeight="1">
      <c r="A33" s="20" t="n">
        <v>256</v>
      </c>
      <c r="B33" s="21" t="n">
        <v>6000</v>
      </c>
      <c r="C33" s="22">
        <f>B21-B33</f>
        <v/>
      </c>
      <c r="D33" s="8">
        <f>IF(B21&gt;B33,"最大側がこの上限を超える","最大側はこの上限に収まる")</f>
        <v/>
      </c>
      <c r="E33" s="8" t="n"/>
      <c r="F33" s="8" t="n"/>
    </row>
    <row r="34" ht="34" customHeight="1">
      <c r="A34" s="12" t="n"/>
      <c r="B34" s="12" t="n"/>
      <c r="C34" s="12" t="n"/>
      <c r="D34" s="12" t="n"/>
      <c r="E34" s="12" t="n"/>
      <c r="F34" s="12" t="n"/>
    </row>
    <row r="35" ht="48" customHeight="1">
      <c r="A35" s="4" t="inlineStr">
        <is>
          <t>ピン留めが無いとき、Aurora側の本数はクライアント接続より少なくなり得ます。ピン留めが常態だと、ほぼ1対1です。Proxyの既定は max_connections の100%までしか倉庫へ開きません。入替中の瞬間最大は、古いタスクの使用中＋新しいタスクの最小です。</t>
        </is>
      </c>
      <c r="B35" s="30" t="n"/>
      <c r="C35" s="30" t="n"/>
      <c r="D35" s="30" t="n"/>
      <c r="E35" s="30" t="n"/>
      <c r="F35" s="31" t="n"/>
    </row>
  </sheetData>
  <autoFilter ref="A4:F12"/>
  <mergeCells count="6">
    <mergeCell ref="A2:F2"/>
    <mergeCell ref="A14:F14"/>
    <mergeCell ref="A1:F1"/>
    <mergeCell ref="A23:F23"/>
    <mergeCell ref="A35:F35"/>
    <mergeCell ref="A3:F3"/>
  </mergeCells>
  <dataValidations count="1">
    <dataValidation sqref="B12" showDropDown="0" showInputMessage="0" showErrorMessage="0" allowBlank="0" errorTitle="最大ACU" error="表にある最大ACUを選んでください" promptTitle="最大ACU" prompt="AWS公開表にある値" type="list">
      <formula1>"1,4,8,16,32,64,128,192,256"</formula1>
    </dataValidation>
  </dataValidation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構成と数&amp;R&amp;"Meiryo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D21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24" customWidth="1" min="1" max="1"/>
    <col width="50" customWidth="1" min="2" max="2"/>
    <col width="50" customWidth="1" min="3" max="3"/>
    <col width="36" customWidth="1" min="4" max="4"/>
  </cols>
  <sheetData>
    <row r="1" ht="36" customHeight="1">
      <c r="A1" s="1" t="inlineStr">
        <is>
          <t>1本の接続が通る道</t>
        </is>
      </c>
    </row>
    <row r="2" ht="32" customHeight="1">
      <c r="A2" s="2" t="inlineStr">
        <is>
          <t>close() しても、トランザクションが終わるまで棚には戻りません。これはリークではなく、正常な保留です。</t>
        </is>
      </c>
      <c r="B2" s="30" t="n"/>
      <c r="C2" s="30" t="n"/>
      <c r="D2" s="31" t="n"/>
    </row>
    <row r="3" ht="30" customHeight="1">
      <c r="A3" s="4" t="inlineStr">
        <is>
          <t>EAP 8.1 の標準データソースは IronJacamar 3.0.14 です。Agroal の leak-timeout はこの設定名のプールにはありません。</t>
        </is>
      </c>
      <c r="B3" s="30" t="n"/>
      <c r="C3" s="30" t="n"/>
      <c r="D3" s="31" t="n"/>
    </row>
    <row r="4" ht="25.05" customHeight="1">
      <c r="A4" s="6" t="inlineStr">
        <is>
          <t>順番</t>
        </is>
      </c>
      <c r="B4" s="6" t="inlineStr">
        <is>
          <t>処理</t>
        </is>
      </c>
      <c r="C4" s="6" t="inlineStr">
        <is>
          <t>プールから見た状態</t>
        </is>
      </c>
      <c r="D4" s="6" t="inlineStr">
        <is>
          <t>満杯との関係</t>
        </is>
      </c>
    </row>
    <row r="5" ht="42.1" customHeight="1">
      <c r="A5" s="7" t="inlineStr">
        <is>
          <t>1</t>
        </is>
      </c>
      <c r="B5" s="8" t="inlineStr">
        <is>
          <t>アプリが DataSource.getConnection() を呼ぶ</t>
        </is>
      </c>
      <c r="C5" s="8" t="inlineStr">
        <is>
          <t>許可証が残っていれば貸し出す</t>
        </is>
      </c>
      <c r="D5" s="8" t="inlineStr">
        <is>
          <t>残っていなければ blocking のあいだ待つ</t>
        </is>
      </c>
    </row>
    <row r="6" ht="42.1" customHeight="1">
      <c r="A6" s="9" t="inlineStr">
        <is>
          <t>2</t>
        </is>
      </c>
      <c r="B6" s="10" t="inlineStr">
        <is>
          <t>棚に接続があればそれを渡す</t>
        </is>
      </c>
      <c r="C6" s="10" t="inlineStr">
        <is>
          <t>Idle が1減り、InUse が1増える</t>
        </is>
      </c>
      <c r="D6" s="10" t="inlineStr">
        <is>
          <t>Idle が0でも、最大まで余っていれば新規作成に進む</t>
        </is>
      </c>
    </row>
    <row r="7" ht="42.1" customHeight="1">
      <c r="A7" s="7" t="inlineStr">
        <is>
          <t>3</t>
        </is>
      </c>
      <c r="B7" s="8" t="inlineStr">
        <is>
          <t>足りなければ Proxy 経由で新しい接続を作る</t>
        </is>
      </c>
      <c r="C7" s="8" t="inlineStr">
        <is>
          <t>Active が増える</t>
        </is>
      </c>
      <c r="D7" s="8" t="inlineStr">
        <is>
          <t>作成時間は blocking の30秒に含まれない</t>
        </is>
      </c>
    </row>
    <row r="8" ht="42.1" customHeight="1">
      <c r="A8" s="9" t="inlineStr">
        <is>
          <t>4</t>
        </is>
      </c>
      <c r="B8" s="10" t="inlineStr">
        <is>
          <t>トランザクション中なら Narayana が参加者として登録する</t>
        </is>
      </c>
      <c r="C8" s="10" t="inlineStr">
        <is>
          <t>InUse のまま。XAなら両方のプールで同時に起きる</t>
        </is>
      </c>
      <c r="D8" s="10" t="inlineStr">
        <is>
          <t>2PCのあいだ、2枠が同時に塞がる</t>
        </is>
      </c>
    </row>
    <row r="9" ht="42.1" customHeight="1">
      <c r="A9" s="7" t="inlineStr">
        <is>
          <t>5</t>
        </is>
      </c>
      <c r="B9" s="8" t="inlineStr">
        <is>
          <t>アプリが close() する</t>
        </is>
      </c>
      <c r="C9" s="8" t="inlineStr">
        <is>
          <t>ハンドルは戻る。管理接続はトランザクションが終わるまで保留</t>
        </is>
      </c>
      <c r="D9" s="8" t="inlineStr">
        <is>
          <t>close 済みに見えても InUse のことがある</t>
        </is>
      </c>
    </row>
    <row r="10" ht="34" customHeight="1">
      <c r="A10" s="9" t="inlineStr">
        <is>
          <t>6</t>
        </is>
      </c>
      <c r="B10" s="10" t="inlineStr">
        <is>
          <t>コミットかロールバックの完了処理</t>
        </is>
      </c>
      <c r="C10" s="10" t="inlineStr">
        <is>
          <t>棚へ戻し、InUse が減る</t>
        </is>
      </c>
      <c r="D10" s="10" t="inlineStr">
        <is>
          <t>ここで初めて次の人が借りられる</t>
        </is>
      </c>
    </row>
    <row r="11" ht="42.1" customHeight="1">
      <c r="A11" s="7" t="inlineStr">
        <is>
          <t>7</t>
        </is>
      </c>
      <c r="B11" s="8" t="inlineStr">
        <is>
          <t>閉じ忘れのままメソッドを出る。debug が true</t>
        </is>
      </c>
      <c r="C11" s="8" t="inlineStr">
        <is>
          <t>トランザクションが無ければその場で close。あれば完了処理で close</t>
        </is>
      </c>
      <c r="D11" s="8" t="inlineStr">
        <is>
          <t>IJ000100 は、この回収のログ</t>
        </is>
      </c>
    </row>
    <row r="12" ht="34" customHeight="1">
      <c r="A12" s="9" t="inlineStr">
        <is>
          <t>8</t>
        </is>
      </c>
      <c r="B12" s="10" t="inlineStr">
        <is>
          <t>メソッドが終わらない、または管理外スレッド</t>
        </is>
      </c>
      <c r="C12" s="10" t="inlineStr">
        <is>
          <t>InUse のまま。見回りも回収も対象外</t>
        </is>
      </c>
      <c r="D12" s="10" t="inlineStr">
        <is>
          <t>JVMを止めるまで枠が戻らない</t>
        </is>
      </c>
    </row>
    <row r="13" ht="34" customHeight="1">
      <c r="A13" s="12" t="n"/>
      <c r="B13" s="12" t="n"/>
      <c r="C13" s="12" t="n"/>
      <c r="D13" s="12" t="n"/>
    </row>
    <row r="14" ht="34" customHeight="1">
      <c r="A14" s="13" t="inlineStr">
        <is>
          <t>統計の読み方</t>
        </is>
      </c>
      <c r="B14" s="30" t="n"/>
      <c r="C14" s="30" t="n"/>
      <c r="D14" s="31" t="n"/>
    </row>
    <row r="15" ht="34" customHeight="1">
      <c r="A15" s="6" t="inlineStr">
        <is>
          <t>統計</t>
        </is>
      </c>
      <c r="B15" s="6" t="inlineStr">
        <is>
          <t>意味</t>
        </is>
      </c>
      <c r="C15" s="6" t="inlineStr">
        <is>
          <t>満杯のサイン</t>
        </is>
      </c>
      <c r="D15" s="6" t="inlineStr">
        <is>
          <t>注意</t>
        </is>
      </c>
    </row>
    <row r="16" ht="34" customHeight="1">
      <c r="A16" s="8" t="inlineStr">
        <is>
          <t>InUseCount</t>
        </is>
      </c>
      <c r="B16" s="8" t="inlineStr">
        <is>
          <t>貸し出し中。トランザクション保留を含む</t>
        </is>
      </c>
      <c r="C16" s="8" t="inlineStr">
        <is>
          <t>最大値と同じなら、そのプールは満杯</t>
        </is>
      </c>
      <c r="D16" s="8" t="inlineStr">
        <is>
          <t>4プール全部を別々に見る</t>
        </is>
      </c>
    </row>
    <row r="17" ht="34" customHeight="1">
      <c r="A17" s="10" t="inlineStr">
        <is>
          <t>IdleCount</t>
        </is>
      </c>
      <c r="B17" s="10" t="inlineStr">
        <is>
          <t>棚にある本</t>
        </is>
      </c>
      <c r="C17" s="10" t="inlineStr">
        <is>
          <t>0かつ InUse が最大なら、棚は空</t>
        </is>
      </c>
      <c r="D17" s="10" t="inlineStr">
        <is>
          <t>0より大きいなら、枠不足ではない</t>
        </is>
      </c>
    </row>
    <row r="18" ht="34" customHeight="1">
      <c r="A18" s="8" t="inlineStr">
        <is>
          <t>ActiveCount</t>
        </is>
      </c>
      <c r="B18" s="8" t="inlineStr">
        <is>
          <t>実在する接続。InUse と Idle の合計に近い</t>
        </is>
      </c>
      <c r="C18" s="8" t="inlineStr">
        <is>
          <t>最大値までの作成済み数</t>
        </is>
      </c>
      <c r="D18" s="8" t="inlineStr">
        <is>
          <t>最大値そのものではない</t>
        </is>
      </c>
    </row>
    <row r="19" ht="42.1" customHeight="1">
      <c r="A19" s="10" t="inlineStr">
        <is>
          <t>BlockingFailureCount</t>
        </is>
      </c>
      <c r="B19" s="10" t="inlineStr">
        <is>
          <t>待ち時間が切れて失敗した回数</t>
        </is>
      </c>
      <c r="C19" s="10" t="inlineStr">
        <is>
          <t>増え続けるなら IJ000655 の累積</t>
        </is>
      </c>
      <c r="D19" s="10" t="inlineStr">
        <is>
          <t>失敗の回数であり、今の使用中ではない</t>
        </is>
      </c>
    </row>
    <row r="20" ht="34" customHeight="1">
      <c r="A20" s="8" t="inlineStr">
        <is>
          <t>WaitCount</t>
        </is>
      </c>
      <c r="B20" s="8" t="inlineStr">
        <is>
          <t>いま枠を待っているリクエスト</t>
        </is>
      </c>
      <c r="C20" s="8" t="inlineStr">
        <is>
          <t>0より大きいなら行列がある</t>
        </is>
      </c>
      <c r="D20" s="8" t="inlineStr">
        <is>
          <t>短時間の行列は正常な繁忙でも起きる</t>
        </is>
      </c>
    </row>
    <row r="21" ht="42.1" customHeight="1">
      <c r="A21" s="10" t="inlineStr">
        <is>
          <t>MaxUsedCount</t>
        </is>
      </c>
      <c r="B21" s="10" t="inlineStr">
        <is>
          <t>起動後の使用中ピーク</t>
        </is>
      </c>
      <c r="C21" s="10" t="inlineStr">
        <is>
          <t>最大値に届いていれば、上限に触れたことがある</t>
        </is>
      </c>
      <c r="D21" s="10" t="inlineStr">
        <is>
          <t>リークか、正常な同時実行かの切り分けに使う</t>
        </is>
      </c>
    </row>
  </sheetData>
  <autoFilter ref="A4:D12"/>
  <mergeCells count="4">
    <mergeCell ref="A1:D1"/>
    <mergeCell ref="A14:D14"/>
    <mergeCell ref="A3:D3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プールの中&amp;R&amp;"Meiryo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E20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38" customWidth="1" min="1" max="1"/>
    <col width="24" customWidth="1" min="2" max="2"/>
    <col width="42" customWidth="1" min="3" max="3"/>
    <col width="28" customWidth="1" min="4" max="4"/>
    <col width="36" customWidth="1" min="5" max="5"/>
  </cols>
  <sheetData>
    <row r="1" ht="36" customHeight="1">
      <c r="A1" s="1" t="inlineStr">
        <is>
          <t>タイムアウト辞典    それぞれが待っている相手が違います</t>
        </is>
      </c>
    </row>
    <row r="2" ht="32" customHeight="1">
      <c r="A2" s="2" t="inlineStr">
        <is>
          <t>満杯の枠を戻すのは、トランザクションの完了処理だけです。暇な接続の片付けと、待ち行列の打ち切りは、枠を戻しません。</t>
        </is>
      </c>
      <c r="B2" s="30" t="n"/>
      <c r="C2" s="30" t="n"/>
      <c r="D2" s="30" t="n"/>
      <c r="E2" s="31" t="n"/>
    </row>
    <row r="3" ht="30" customHeight="1">
      <c r="A3" s="4" t="inlineStr">
        <is>
          <t>秒数は未設定時の既定です。XML要素名と管理属性名が違う項目があります。</t>
        </is>
      </c>
      <c r="B3" s="30" t="n"/>
      <c r="C3" s="30" t="n"/>
      <c r="D3" s="30" t="n"/>
      <c r="E3" s="31" t="n"/>
    </row>
    <row r="4" ht="25.05" customHeight="1">
      <c r="A4" s="6" t="inlineStr">
        <is>
          <t>設定</t>
        </is>
      </c>
      <c r="B4" s="6" t="inlineStr">
        <is>
          <t>既定</t>
        </is>
      </c>
      <c r="C4" s="6" t="inlineStr">
        <is>
          <t>待っているもの</t>
        </is>
      </c>
      <c r="D4" s="6" t="inlineStr">
        <is>
          <t>満杯の枠</t>
        </is>
      </c>
      <c r="E4" s="6" t="inlineStr">
        <is>
          <t>戻る条件</t>
        </is>
      </c>
    </row>
    <row r="5" ht="59.15000000000001" customHeight="1">
      <c r="A5" s="26" t="inlineStr">
        <is>
          <t>blocking-timeout-millis
管理名 blocking-timeout-wait-millis</t>
        </is>
      </c>
      <c r="B5" s="26" t="inlineStr">
        <is>
          <t>30000ミリ秒</t>
        </is>
      </c>
      <c r="C5" s="26" t="inlineStr">
        <is>
          <t>許可証が空くこと</t>
        </is>
      </c>
      <c r="D5" s="26" t="inlineStr">
        <is>
          <t>戻らない</t>
        </is>
      </c>
      <c r="E5" s="26" t="inlineStr">
        <is>
          <t>誰かが返したとき、待っていた人が借りる。時間切れはその人が失敗するだけ</t>
        </is>
      </c>
    </row>
    <row r="6" ht="59.15000000000001" customHeight="1">
      <c r="A6" s="27" t="inlineStr">
        <is>
          <t>idle-timeout-minutes</t>
        </is>
      </c>
      <c r="B6" s="27" t="inlineStr">
        <is>
          <t>30分</t>
        </is>
      </c>
      <c r="C6" s="27" t="inlineStr">
        <is>
          <t>棚に戻った接続が暇であること</t>
        </is>
      </c>
      <c r="D6" s="27" t="inlineStr">
        <is>
          <t>戻らない</t>
        </is>
      </c>
      <c r="E6" s="27" t="inlineStr">
        <is>
          <t>lastCheckedOut より lastReturned が新しい接続だけ。貸し出し中は対象外</t>
        </is>
      </c>
    </row>
    <row r="7" ht="42.1" customHeight="1">
      <c r="A7" s="26" t="inlineStr">
        <is>
          <t>IdleRemover の周期</t>
        </is>
      </c>
      <c r="B7" s="26" t="inlineStr">
        <is>
          <t>最短 idle-timeout の半分</t>
        </is>
      </c>
      <c r="C7" s="26" t="inlineStr">
        <is>
          <t>破棄の見回り</t>
        </is>
      </c>
      <c r="D7" s="26" t="inlineStr">
        <is>
          <t>戻らない</t>
        </is>
      </c>
      <c r="E7" s="26" t="inlineStr">
        <is>
          <t>期限ちょうどではなく、次の見回りで捨てる</t>
        </is>
      </c>
    </row>
    <row r="8" ht="34" customHeight="1">
      <c r="A8" s="27" t="inlineStr">
        <is>
          <t>allocation-retry / wait</t>
        </is>
      </c>
      <c r="B8" s="27" t="inlineStr">
        <is>
          <t>0回 / 5000ミリ秒</t>
        </is>
      </c>
      <c r="C8" s="27" t="inlineStr">
        <is>
          <t>接続作成の失敗からの再試行</t>
        </is>
      </c>
      <c r="D8" s="27" t="inlineStr">
        <is>
          <t>戻らない</t>
        </is>
      </c>
      <c r="E8" s="27" t="inlineStr">
        <is>
          <t>枠が満杯の行列には使わない</t>
        </is>
      </c>
    </row>
    <row r="9" ht="34" customHeight="1">
      <c r="A9" s="26" t="inlineStr">
        <is>
          <t>query-timeout</t>
        </is>
      </c>
      <c r="B9" s="26" t="inlineStr">
        <is>
          <t>0（無制限）</t>
        </is>
      </c>
      <c r="C9" s="26" t="inlineStr">
        <is>
          <t>SQL 1本の上限</t>
        </is>
      </c>
      <c r="D9" s="26" t="inlineStr">
        <is>
          <t>間接的</t>
        </is>
      </c>
      <c r="E9" s="26" t="inlineStr">
        <is>
          <t>0以外なら、その秒でSQLを中断し得る</t>
        </is>
      </c>
    </row>
    <row r="10" ht="34" customHeight="1">
      <c r="A10" s="27" t="inlineStr">
        <is>
          <t>set-tx-query-timeout</t>
        </is>
      </c>
      <c r="B10" s="27" t="inlineStr">
        <is>
          <t>false</t>
        </is>
      </c>
      <c r="C10" s="27" t="inlineStr">
        <is>
          <t>トランザクション残り時間をSQLへ渡す</t>
        </is>
      </c>
      <c r="D10" s="27" t="inlineStr">
        <is>
          <t>間接的</t>
        </is>
      </c>
      <c r="E10" s="27" t="inlineStr">
        <is>
          <t>false のとき、300秒がSQLを切らない</t>
        </is>
      </c>
    </row>
    <row r="11" ht="42.1" customHeight="1">
      <c r="A11" s="26" t="inlineStr">
        <is>
          <t>xa-resource-timeout</t>
        </is>
      </c>
      <c r="B11" s="26" t="inlineStr">
        <is>
          <t>0</t>
        </is>
      </c>
      <c r="C11" s="26" t="inlineStr">
        <is>
          <t>XAResource へ渡す秒</t>
        </is>
      </c>
      <c r="D11" s="26" t="inlineStr">
        <is>
          <t>間接的</t>
        </is>
      </c>
      <c r="E11" s="26" t="inlineStr">
        <is>
          <t>0だと setTransactionTimeout を呼ばない</t>
        </is>
      </c>
    </row>
    <row r="12" ht="42.1" customHeight="1">
      <c r="A12" s="27" t="inlineStr">
        <is>
          <t>Narayana default-timeout</t>
        </is>
      </c>
      <c r="B12" s="27" t="inlineStr">
        <is>
          <t>300秒</t>
        </is>
      </c>
      <c r="C12" s="27" t="inlineStr">
        <is>
          <t>グローバルトランザクションの寿命</t>
        </is>
      </c>
      <c r="D12" s="27" t="inlineStr">
        <is>
          <t>完了すれば戻る</t>
        </is>
      </c>
      <c r="E12" s="27" t="inlineStr">
        <is>
          <t>リーパーがロールバック側にし、afterCompletion で返却</t>
        </is>
      </c>
    </row>
    <row r="13" ht="42.1" customHeight="1">
      <c r="A13" s="26" t="inlineStr">
        <is>
          <t>Narayana maximum-timeout</t>
        </is>
      </c>
      <c r="B13" s="26" t="inlineStr">
        <is>
          <t>365日</t>
        </is>
      </c>
      <c r="C13" s="26" t="inlineStr">
        <is>
          <t>default-timeout が0のときの上限</t>
        </is>
      </c>
      <c r="D13" s="26" t="inlineStr">
        <is>
          <t>その期限まで残り得る</t>
        </is>
      </c>
      <c r="E13" s="26" t="inlineStr">
        <is>
          <t>0は無制限の指定で、この上限が使われる</t>
        </is>
      </c>
    </row>
    <row r="14" ht="34" customHeight="1">
      <c r="A14" s="27" t="inlineStr">
        <is>
          <t>innodb_lock_wait_timeout</t>
        </is>
      </c>
      <c r="B14" s="27" t="inlineStr">
        <is>
          <t>50秒</t>
        </is>
      </c>
      <c r="C14" s="27" t="inlineStr">
        <is>
          <t>行ロックを待つ側</t>
        </is>
      </c>
      <c r="D14" s="27" t="inlineStr">
        <is>
          <t>待つ側は失敗して戻り得る</t>
        </is>
      </c>
      <c r="E14" s="27" t="inlineStr">
        <is>
          <t>ロックを持っている側は残る</t>
        </is>
      </c>
    </row>
    <row r="15" ht="42.1" customHeight="1">
      <c r="A15" s="26" t="inlineStr">
        <is>
          <t>MySQL wait_timeout</t>
        </is>
      </c>
      <c r="B15" s="26" t="inlineStr">
        <is>
          <t>28800秒</t>
        </is>
      </c>
      <c r="C15" s="26" t="inlineStr">
        <is>
          <t>サーバから見た無活動</t>
        </is>
      </c>
      <c r="D15" s="26" t="inlineStr">
        <is>
          <t>JBossの枠は残ることがある</t>
        </is>
      </c>
      <c r="E15" s="26" t="inlineStr">
        <is>
          <t>サーバセッションが切れても、InUseの台帳はアプリが次に触るまで残る</t>
        </is>
      </c>
    </row>
    <row r="16" ht="42.1" customHeight="1">
      <c r="A16" s="27" t="inlineStr">
        <is>
          <t>Proxy IdleClientTimeout</t>
        </is>
      </c>
      <c r="B16" s="27" t="inlineStr">
        <is>
          <t>1800秒</t>
        </is>
      </c>
      <c r="C16" s="27" t="inlineStr">
        <is>
          <t>クライアント接続の無活動</t>
        </is>
      </c>
      <c r="D16" s="27" t="inlineStr">
        <is>
          <t>JBossのInUseは残る</t>
        </is>
      </c>
      <c r="E16" s="27" t="inlineStr">
        <is>
          <t>Proxyがソケットを切る。検証が無いと棚の接続が死んだまま</t>
        </is>
      </c>
    </row>
    <row r="17" ht="42.1" customHeight="1">
      <c r="A17" s="26" t="inlineStr">
        <is>
          <t>Proxy の最大寿命</t>
        </is>
      </c>
      <c r="B17" s="26" t="inlineStr">
        <is>
          <t>24時間</t>
        </is>
      </c>
      <c r="C17" s="26" t="inlineStr">
        <is>
          <t>活動していても切る上限</t>
        </is>
      </c>
      <c r="D17" s="26" t="inlineStr">
        <is>
          <t>検証が必要</t>
        </is>
      </c>
      <c r="E17" s="26" t="inlineStr">
        <is>
          <t>pingしていても24時間でクライアント接続は終わる</t>
        </is>
      </c>
    </row>
    <row r="18" ht="42.1" customHeight="1">
      <c r="A18" s="27" t="inlineStr">
        <is>
          <t>Proxy ConnectionBorrowTimeout</t>
        </is>
      </c>
      <c r="B18" s="27" t="inlineStr">
        <is>
          <t>120秒</t>
        </is>
      </c>
      <c r="C18" s="27" t="inlineStr">
        <is>
          <t>Proxy池の空き</t>
        </is>
      </c>
      <c r="D18" s="27" t="inlineStr">
        <is>
          <t>JBossの枠とは別</t>
        </is>
      </c>
      <c r="E18" s="27" t="inlineStr">
        <is>
          <t>倉庫側が最大のとき、120秒待ってProxyが断る</t>
        </is>
      </c>
    </row>
    <row r="19" ht="34" customHeight="1">
      <c r="A19" s="26" t="inlineStr">
        <is>
          <t>Proxy MaxConnectionsPercent</t>
        </is>
      </c>
      <c r="B19" s="26" t="inlineStr">
        <is>
          <t>100</t>
        </is>
      </c>
      <c r="C19" s="26" t="inlineStr">
        <is>
          <t>Auroraの max_connections に対する割合</t>
        </is>
      </c>
      <c r="D19" s="26" t="inlineStr">
        <is>
          <t>倉庫の上限</t>
        </is>
      </c>
      <c r="E19" s="26" t="inlineStr">
        <is>
          <t>既定ではProxyが上限まで開ける</t>
        </is>
      </c>
    </row>
    <row r="20" ht="42.1" customHeight="1">
      <c r="A20" s="27" t="inlineStr">
        <is>
          <t>Proxy MaxIdleConnectionsPercent</t>
        </is>
      </c>
      <c r="B20" s="27" t="inlineStr">
        <is>
          <t>50（MySQL）</t>
        </is>
      </c>
      <c r="C20" s="27" t="inlineStr">
        <is>
          <t>暇な倉庫接続を残す割合</t>
        </is>
      </c>
      <c r="D20" s="27" t="inlineStr">
        <is>
          <t>倉庫側の暇を捨てる</t>
        </is>
      </c>
      <c r="E20" s="27" t="inlineStr">
        <is>
          <t>5分無活動の倉庫接続を、この割合まで減らす</t>
        </is>
      </c>
    </row>
  </sheetData>
  <autoFilter ref="A4:E20"/>
  <mergeCells count="3">
    <mergeCell ref="A2:E2"/>
    <mergeCell ref="A1:E1"/>
    <mergeCell ref="A3:E3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タイムアウト辞典&amp;R&amp;"Meiryo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F14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8" customWidth="1" min="1" max="1"/>
    <col width="42" customWidth="1" min="2" max="2"/>
    <col width="28" customWidth="1" min="3" max="3"/>
    <col width="22" customWidth="1" min="4" max="4"/>
    <col width="22" customWidth="1" min="5" max="5"/>
    <col width="48" customWidth="1" min="6" max="6"/>
  </cols>
  <sheetData>
    <row r="1" ht="36" customHeight="1">
      <c r="A1" s="1" t="inlineStr">
        <is>
          <t>判定表    上から順に見て、最初に当てはまった行で動きます</t>
        </is>
      </c>
    </row>
    <row r="2" ht="32" customHeight="1">
      <c r="A2" s="2" t="inlineStr">
        <is>
          <t>IJ000100 と IJ000655 は同時に起きます。警告は回収済みの記録、655はまだ持っている人で枠が尽きた記録です。</t>
        </is>
      </c>
      <c r="B2" s="30" t="n"/>
      <c r="C2" s="30" t="n"/>
      <c r="D2" s="30" t="n"/>
      <c r="E2" s="30" t="n"/>
      <c r="F2" s="31" t="n"/>
    </row>
    <row r="3" ht="30" customHeight="1">
      <c r="A3" s="4" t="inlineStr">
        <is>
          <t>待つ判定は、新しいリクエストの流入を止めて InUse を見ると確実です。流したままだと、空いた枠を次がすぐ使います。</t>
        </is>
      </c>
      <c r="B3" s="30" t="n"/>
      <c r="C3" s="30" t="n"/>
      <c r="D3" s="30" t="n"/>
      <c r="E3" s="30" t="n"/>
      <c r="F3" s="31" t="n"/>
    </row>
    <row r="4" ht="25.05" customHeight="1">
      <c r="A4" s="6" t="inlineStr">
        <is>
          <t>順</t>
        </is>
      </c>
      <c r="B4" s="6" t="inlineStr">
        <is>
          <t>観測</t>
        </is>
      </c>
      <c r="C4" s="6" t="inlineStr">
        <is>
          <t>枠の状態</t>
        </is>
      </c>
      <c r="D4" s="6" t="inlineStr">
        <is>
          <t>待てば空くか</t>
        </is>
      </c>
      <c r="E4" s="6" t="inlineStr">
        <is>
          <t>タスク入替</t>
        </is>
      </c>
      <c r="F4" s="6" t="inlineStr">
        <is>
          <t>理由</t>
        </is>
      </c>
    </row>
    <row r="5" ht="42.1" customHeight="1">
      <c r="A5" s="28" t="inlineStr">
        <is>
          <t>1</t>
        </is>
      </c>
      <c r="B5" s="26" t="inlineStr">
        <is>
          <t>InUse が最大未満。原因が通信エラーや Proxy のタイムアウト</t>
        </is>
      </c>
      <c r="C5" s="26" t="inlineStr">
        <is>
          <t>JBossの枠は残っている</t>
        </is>
      </c>
      <c r="D5" s="26" t="inlineStr">
        <is>
          <t>プール待ちでは解消しない</t>
        </is>
      </c>
      <c r="E5" s="26" t="inlineStr">
        <is>
          <t>入替だけでは不十分</t>
        </is>
      </c>
      <c r="F5" s="26" t="inlineStr">
        <is>
          <t>作成先が拒否している。上限、ピン留め、認証、ネットワークを見る</t>
        </is>
      </c>
    </row>
    <row r="6" ht="42.1" customHeight="1">
      <c r="A6" s="29" t="inlineStr">
        <is>
          <t>2</t>
        </is>
      </c>
      <c r="B6" s="27" t="inlineStr">
        <is>
          <t>IJ000655。InUse が最大。300秒ほど流入を止めると InUse が減る</t>
        </is>
      </c>
      <c r="C6" s="27" t="inlineStr">
        <is>
          <t>仕事かトランザクションが持っていた</t>
        </is>
      </c>
      <c r="D6" s="27" t="inlineStr">
        <is>
          <t>減る。再発は別</t>
        </is>
      </c>
      <c r="E6" s="27" t="inlineStr">
        <is>
          <t>今の塞がりを消すだけなら不要</t>
        </is>
      </c>
      <c r="F6" s="27" t="inlineStr">
        <is>
          <t>完了処理かトランザクションタイムアウトで返った</t>
        </is>
      </c>
    </row>
    <row r="7" ht="42.1" customHeight="1">
      <c r="A7" s="28" t="inlineStr">
        <is>
          <t>3</t>
        </is>
      </c>
      <c r="B7" s="26" t="inlineStr">
        <is>
          <t>IJ000655。ロック待ちの失敗が波のように出る。XA RECOVER に行がある</t>
        </is>
      </c>
      <c r="C7" s="26" t="inlineStr">
        <is>
          <t>後続が50秒ずつ枠を使う</t>
        </is>
      </c>
      <c r="D7" s="26" t="inlineStr">
        <is>
          <t>待つ側は戻る。ロックは残る</t>
        </is>
      </c>
      <c r="E7" s="26" t="inlineStr">
        <is>
          <t>入替の前にXIDの決着</t>
        </is>
      </c>
      <c r="F7" s="26" t="inlineStr">
        <is>
          <t>未決着XAはタスクを捨てても消えない。新しいタスクが再び満杯になる</t>
        </is>
      </c>
    </row>
    <row r="8" ht="42.1" customHeight="1">
      <c r="A8" s="29" t="inlineStr">
        <is>
          <t>4</t>
        </is>
      </c>
      <c r="B8" s="27" t="inlineStr">
        <is>
          <t>IJ000100 が出ている。その直後にその本数だけ InUse が減る</t>
        </is>
      </c>
      <c r="C8" s="27" t="inlineStr">
        <is>
          <t>閉じ忘れを出口で回収した</t>
        </is>
      </c>
      <c r="D8" s="27" t="inlineStr">
        <is>
          <t>すでに戻っている</t>
        </is>
      </c>
      <c r="E8" s="27" t="inlineStr">
        <is>
          <t>不要</t>
        </is>
      </c>
      <c r="F8" s="27" t="inlineStr">
        <is>
          <t>ログは予告ではなく、回収の記録</t>
        </is>
      </c>
    </row>
    <row r="9" ht="42.1" customHeight="1">
      <c r="A9" s="28" t="inlineStr">
        <is>
          <t>5</t>
        </is>
      </c>
      <c r="B9" s="26" t="inlineStr">
        <is>
          <t>IJ000100 も出るが、InUse は最大のまま減らない</t>
        </is>
      </c>
      <c r="C9" s="26" t="inlineStr">
        <is>
          <t>回収とは別の接続がまだ仕事の中</t>
        </is>
      </c>
      <c r="D9" s="26" t="inlineStr">
        <is>
          <t>その接続が終わるまで</t>
        </is>
      </c>
      <c r="E9" s="26" t="inlineStr">
        <is>
          <t>減らないなら入替</t>
        </is>
      </c>
      <c r="F9" s="26" t="inlineStr">
        <is>
          <t>終わっていないメソッドでは CCM は動かない</t>
        </is>
      </c>
    </row>
    <row r="10" ht="42.1" customHeight="1">
      <c r="A10" s="29" t="inlineStr">
        <is>
          <t>6</t>
        </is>
      </c>
      <c r="B10" s="27" t="inlineStr">
        <is>
          <t>トランザクションタイムアウトを過ぎても InUse が減らない</t>
        </is>
      </c>
      <c r="C10" s="27" t="inlineStr">
        <is>
          <t>終わらないスレッドか、管理外の握り</t>
        </is>
      </c>
      <c r="D10" s="27" t="inlineStr">
        <is>
          <t>戻らない</t>
        </is>
      </c>
      <c r="E10" s="27" t="inlineStr">
        <is>
          <t>そのタスクを入れ替える</t>
        </is>
      </c>
      <c r="F10" s="27" t="inlineStr">
        <is>
          <t>idle-timeout も blocking も、この枠を返さない</t>
        </is>
      </c>
    </row>
    <row r="11" ht="42.1" customHeight="1">
      <c r="A11" s="28" t="inlineStr">
        <is>
          <t>7</t>
        </is>
      </c>
      <c r="B11" s="26" t="inlineStr">
        <is>
          <t>default-timeout が 0</t>
        </is>
      </c>
      <c r="C11" s="26" t="inlineStr">
        <is>
          <t>トランザクションが最長365日</t>
        </is>
      </c>
      <c r="D11" s="26" t="inlineStr">
        <is>
          <t>実用上は戻らない</t>
        </is>
      </c>
      <c r="E11" s="26" t="inlineStr">
        <is>
          <t>入替か、タイムアウトを有限に戻す</t>
        </is>
      </c>
      <c r="F11" s="26" t="inlineStr">
        <is>
          <t>0は無制限指定で、maximum-timeout が上限</t>
        </is>
      </c>
    </row>
    <row r="12" ht="42.1" customHeight="1">
      <c r="A12" s="29" t="inlineStr">
        <is>
          <t>8</t>
        </is>
      </c>
      <c r="B12" s="27" t="inlineStr">
        <is>
          <t>SQLが応答待ちのまま。query-timeout も socketTimeout も無い</t>
        </is>
      </c>
      <c r="C12" s="27" t="inlineStr">
        <is>
          <t>JDBC呼び出しが接続を握っている</t>
        </is>
      </c>
      <c r="D12" s="27" t="inlineStr">
        <is>
          <t>応答が返るまで遅れる</t>
        </is>
      </c>
      <c r="E12" s="27" t="inlineStr">
        <is>
          <t>切れないなら入替が確実</t>
        </is>
      </c>
      <c r="F12" s="27" t="inlineStr">
        <is>
          <t>リーパーはロールバックを始められるが、応答待ちと競合し得る</t>
        </is>
      </c>
    </row>
    <row r="13" ht="42.1" customHeight="1">
      <c r="A13" s="28" t="inlineStr">
        <is>
          <t>9</t>
        </is>
      </c>
      <c r="B13" s="26" t="inlineStr">
        <is>
          <t>debug を false に戻したあとの閉じ忘れ</t>
        </is>
      </c>
      <c r="C13" s="26" t="inlineStr">
        <is>
          <t>自動回収が止まる</t>
        </is>
      </c>
      <c r="D13" s="26" t="inlineStr">
        <is>
          <t>戻らない</t>
        </is>
      </c>
      <c r="E13" s="26" t="inlineStr">
        <is>
          <t>入替まで枠が残る</t>
        </is>
      </c>
      <c r="F13" s="26" t="inlineStr">
        <is>
          <t>3.0.14 の closeAll は debug が true のときだけ</t>
        </is>
      </c>
    </row>
    <row r="14" ht="42.1" customHeight="1">
      <c r="A14" s="29" t="inlineStr">
        <is>
          <t>10</t>
        </is>
      </c>
      <c r="B14" s="27" t="inlineStr">
        <is>
          <t>入替の最中に接続エラーが増える</t>
        </is>
      </c>
      <c r="C14" s="27" t="inlineStr">
        <is>
          <t>旧使用中＋新最小が同時に開く</t>
        </is>
      </c>
      <c r="D14" s="27" t="inlineStr">
        <is>
          <t>旧タスク停止後に減る</t>
        </is>
      </c>
      <c r="E14" s="27" t="inlineStr">
        <is>
          <t>台数の重なりを小さくする</t>
        </is>
      </c>
      <c r="F14" s="27" t="inlineStr">
        <is>
          <t>倉庫上限ぎりぎりだと、入替が悪化の原因になる</t>
        </is>
      </c>
    </row>
  </sheetData>
  <autoFilter ref="A4:F14"/>
  <mergeCells count="3">
    <mergeCell ref="A3:F3"/>
    <mergeCell ref="A2:F2"/>
    <mergeCell ref="A1:F1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判定&amp;R&amp;"Meiryo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C22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22" customWidth="1" min="1" max="1"/>
    <col width="55" customWidth="1" min="2" max="2"/>
    <col width="55" customWidth="1" min="3" max="3"/>
  </cols>
  <sheetData>
    <row r="1" ht="36" customHeight="1">
      <c r="A1" s="1" t="inlineStr">
        <is>
          <t>アプリDBとインフラDBを1つの仕事で確定する</t>
        </is>
      </c>
    </row>
    <row r="2" ht="32" customHeight="1">
      <c r="A2" s="2" t="inlineStr">
        <is>
          <t>Narayana が両方に準備を聞き、両方に確定を送ります。片方が遅いと、もう片方の枠も空なりません。</t>
        </is>
      </c>
      <c r="B2" s="30" t="n"/>
      <c r="C2" s="31" t="n"/>
    </row>
    <row r="3" ht="30" customHeight="1">
      <c r="A3" s="4" t="inlineStr">
        <is>
          <t>手動で片側だけ XA COMMIT や XA ROLLBACK すると、もう片側と内容がずれることがあります。方針を決めてから実行します。</t>
        </is>
      </c>
      <c r="B3" s="30" t="n"/>
      <c r="C3" s="31" t="n"/>
    </row>
    <row r="4" ht="25.05" customHeight="1">
      <c r="A4" s="6" t="inlineStr">
        <is>
          <t>段階</t>
        </is>
      </c>
      <c r="B4" s="6" t="inlineStr">
        <is>
          <t>両方のDBで起きること</t>
        </is>
      </c>
      <c r="C4" s="6" t="inlineStr">
        <is>
          <t>プール</t>
        </is>
      </c>
    </row>
    <row r="5" ht="34" customHeight="1">
      <c r="A5" s="8" t="inlineStr">
        <is>
          <t>SQL実行</t>
        </is>
      </c>
      <c r="B5" s="8" t="inlineStr">
        <is>
          <t>それぞれのDBで更新する</t>
        </is>
      </c>
      <c r="C5" s="8" t="inlineStr">
        <is>
          <t>アプリDBの枠1つと、インフラDBの枠1つを同時に使用</t>
        </is>
      </c>
    </row>
    <row r="6" ht="34" customHeight="1">
      <c r="A6" s="10" t="inlineStr">
        <is>
          <t>PREPARE</t>
        </is>
      </c>
      <c r="B6" s="10" t="inlineStr">
        <is>
          <t>両方とも、確定できる状態でロックを持つ</t>
        </is>
      </c>
      <c r="C6" s="10" t="inlineStr">
        <is>
          <t>まだ InUse。close 済みでも戻らない</t>
        </is>
      </c>
    </row>
    <row r="7" ht="34" customHeight="1">
      <c r="A7" s="8" t="inlineStr">
        <is>
          <t>COMMIT</t>
        </is>
      </c>
      <c r="B7" s="8" t="inlineStr">
        <is>
          <t>両方を確定する</t>
        </is>
      </c>
      <c r="C7" s="8" t="inlineStr">
        <is>
          <t>完了処理で両方の棚へ戻る</t>
        </is>
      </c>
    </row>
    <row r="8" ht="34" customHeight="1">
      <c r="A8" s="10" t="inlineStr">
        <is>
          <t>片方が遅い</t>
        </is>
      </c>
      <c r="B8" s="10" t="inlineStr">
        <is>
          <t>速い側も、遅い側の完了を待つ</t>
        </is>
      </c>
      <c r="C8" s="10" t="inlineStr">
        <is>
          <t>インフラDBの遅さがアプリDBの15枠を埋める</t>
        </is>
      </c>
    </row>
    <row r="9" ht="34" customHeight="1">
      <c r="A9" s="8" t="inlineStr">
        <is>
          <t>ロック衝突</t>
        </is>
      </c>
      <c r="B9" s="8" t="inlineStr">
        <is>
          <t>後続は innodb_lock_wait_timeout まで待つ。既定50秒</t>
        </is>
      </c>
      <c r="C9" s="8" t="inlineStr">
        <is>
          <t>待っているリクエストも、自分の枠を持ったまま</t>
        </is>
      </c>
    </row>
    <row r="10" ht="34" customHeight="1">
      <c r="A10" s="10" t="inlineStr">
        <is>
          <t>未決着のXA</t>
        </is>
      </c>
      <c r="B10" s="10" t="inlineStr">
        <is>
          <t>接続が切れても PREPARE 済みのロックは残る</t>
        </is>
      </c>
      <c r="C10" s="10" t="inlineStr">
        <is>
          <t>新しいタスクがそのロックを待ち、再び満杯になる</t>
        </is>
      </c>
    </row>
    <row r="11" ht="34" customHeight="1">
      <c r="A11" s="8" t="inlineStr">
        <is>
          <t>オブジェクトストア</t>
        </is>
      </c>
      <c r="B11" s="8" t="inlineStr">
        <is>
          <t>ECSの一時ディスクなら、タスクとともに消える</t>
        </is>
      </c>
      <c r="C11" s="8" t="inlineStr">
        <is>
          <t>新タスクの回復マネージャは古いXIDを知らない</t>
        </is>
      </c>
    </row>
    <row r="12" ht="34" customHeight="1">
      <c r="A12" s="10" t="inlineStr">
        <is>
          <t>警告との同時発生</t>
        </is>
      </c>
      <c r="B12" s="10" t="inlineStr">
        <is>
          <t>CCMがハンドルを閉じても、管理接続の返却は完了処理</t>
        </is>
      </c>
      <c r="C12" s="10" t="inlineStr">
        <is>
          <t>IJ000100 と満杯は同時に見える</t>
        </is>
      </c>
    </row>
    <row r="13" ht="34" customHeight="1">
      <c r="A13" s="12" t="n"/>
      <c r="B13" s="12" t="n"/>
      <c r="C13" s="12" t="n"/>
    </row>
    <row r="14" ht="34" customHeight="1">
      <c r="A14" s="13" t="inlineStr">
        <is>
          <t>入替前に両方のDBで実行するSQL</t>
        </is>
      </c>
      <c r="B14" s="30" t="n"/>
      <c r="C14" s="31" t="n"/>
    </row>
    <row r="15" ht="34" customHeight="1">
      <c r="A15" s="6" t="inlineStr">
        <is>
          <t>目的</t>
        </is>
      </c>
      <c r="B15" s="6" t="inlineStr">
        <is>
          <t>SQL</t>
        </is>
      </c>
      <c r="C15" s="6" t="inlineStr">
        <is>
          <t>見る点</t>
        </is>
      </c>
    </row>
    <row r="16" ht="42.1" customHeight="1">
      <c r="A16" s="8" t="inlineStr">
        <is>
          <t>未決着のXA</t>
        </is>
      </c>
      <c r="B16" s="8" t="inlineStr">
        <is>
          <t>XA RECOVER;</t>
        </is>
      </c>
      <c r="C16" s="8" t="inlineStr">
        <is>
          <t>行があれば、入替の前にコミットかロールバックの方針を決める</t>
        </is>
      </c>
    </row>
    <row r="17" ht="42.1" customHeight="1">
      <c r="A17" s="10" t="inlineStr">
        <is>
          <t>実行中トランザクション</t>
        </is>
      </c>
      <c r="B17" s="10" t="inlineStr">
        <is>
          <t>SELECT * FROM information_schema.innodb_trx;</t>
        </is>
      </c>
      <c r="C17" s="10" t="inlineStr">
        <is>
          <t>長い trx_started が、枠を持っている候補</t>
        </is>
      </c>
    </row>
    <row r="18" ht="34" customHeight="1">
      <c r="A18" s="8" t="inlineStr">
        <is>
          <t>セッション</t>
        </is>
      </c>
      <c r="B18" s="8" t="inlineStr">
        <is>
          <t>SHOW FULL PROCESSLIST;</t>
        </is>
      </c>
      <c r="C18" s="8" t="inlineStr">
        <is>
          <t>Sleep が長いものと、ロック待ちを分ける</t>
        </is>
      </c>
    </row>
    <row r="19" ht="34" customHeight="1">
      <c r="A19" s="10" t="inlineStr">
        <is>
          <t>上限</t>
        </is>
      </c>
      <c r="B19" s="10" t="inlineStr">
        <is>
          <t>SHOW VARIABLES LIKE 'max_connections';</t>
        </is>
      </c>
      <c r="C19" s="10" t="inlineStr">
        <is>
          <t>最大ACU由来の値か、パラメータグループで固定した値か</t>
        </is>
      </c>
    </row>
    <row r="20" ht="34" customHeight="1">
      <c r="A20" s="8" t="inlineStr">
        <is>
          <t>使用中</t>
        </is>
      </c>
      <c r="B20" s="8" t="inlineStr">
        <is>
          <t>SHOW STATUS LIKE 'Threads_connected';</t>
        </is>
      </c>
      <c r="C20" s="8" t="inlineStr">
        <is>
          <t>JBossの最大側の合計と並べる</t>
        </is>
      </c>
    </row>
    <row r="21" ht="34" customHeight="1">
      <c r="A21" s="10" t="inlineStr">
        <is>
          <t>無活動切断</t>
        </is>
      </c>
      <c r="B21" s="10" t="inlineStr">
        <is>
          <t>SHOW VARIABLES LIKE 'wait_timeout';</t>
        </is>
      </c>
      <c r="C21" s="10" t="inlineStr">
        <is>
          <t>JBossの idle-timeout より短いと、棚の接続が先に死ぬ</t>
        </is>
      </c>
    </row>
    <row r="22" ht="34" customHeight="1">
      <c r="A22" s="8" t="inlineStr">
        <is>
          <t>ロック待ち</t>
        </is>
      </c>
      <c r="B22" s="8" t="inlineStr">
        <is>
          <t>SHOW VARIABLES LIKE 'innodb_lock_wait_timeout';</t>
        </is>
      </c>
      <c r="C22" s="8" t="inlineStr">
        <is>
          <t>波のような失敗の間隔と一致するか</t>
        </is>
      </c>
    </row>
  </sheetData>
  <autoFilter ref="A4:C12"/>
  <mergeCells count="4">
    <mergeCell ref="A1:C1"/>
    <mergeCell ref="A14:C14"/>
    <mergeCell ref="A3:C3"/>
    <mergeCell ref="A2:C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2PC&amp;R&amp;"Meiryo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C22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32" customWidth="1" min="1" max="1"/>
    <col width="55" customWidth="1" min="2" max="2"/>
    <col width="48" customWidth="1" min="3" max="3"/>
  </cols>
  <sheetData>
    <row r="1" ht="36" customHeight="1">
      <c r="A1" s="1" t="inlineStr">
        <is>
          <t>RDS Proxy と Aurora Serverless v2 が断る理由</t>
        </is>
      </c>
    </row>
    <row r="2" ht="32" customHeight="1">
      <c r="A2" s="2" t="inlineStr">
        <is>
          <t>JBossの枠が空いていても、受付か倉庫が満杯なら借りられません。</t>
        </is>
      </c>
      <c r="B2" s="30" t="n"/>
      <c r="C2" s="31" t="n"/>
    </row>
    <row r="3" ht="30" customHeight="1">
      <c r="A3" s="4" t="inlineStr">
        <is>
          <t>XAの禁止文は、調査日の制限一覧には見当たりません。サポートすると書いた文も見当たりません。途中で接続が付け替わると XAER_RMFAIL になります。</t>
        </is>
      </c>
      <c r="B3" s="30" t="n"/>
      <c r="C3" s="31" t="n"/>
    </row>
    <row r="4" ht="25.05" customHeight="1">
      <c r="A4" s="6" t="inlineStr">
        <is>
          <t>仕組み</t>
        </is>
      </c>
      <c r="B4" s="6" t="inlineStr">
        <is>
          <t>動き</t>
        </is>
      </c>
      <c r="C4" s="6" t="inlineStr">
        <is>
          <t>プール満杯との違い</t>
        </is>
      </c>
    </row>
    <row r="5" ht="42.1" customHeight="1">
      <c r="A5" s="8" t="inlineStr">
        <is>
          <t>多重化</t>
        </is>
      </c>
      <c r="B5" s="8" t="inlineStr">
        <is>
          <t>トランザクションが終わり、セッション状態が安全なら、倉庫接続を別クライアントへ貸す</t>
        </is>
      </c>
      <c r="C5" s="8" t="inlineStr">
        <is>
          <t>クライアント接続数より Aurora 接続が少なくなり得る</t>
        </is>
      </c>
    </row>
    <row r="6" ht="42.1" customHeight="1">
      <c r="A6" s="10" t="inlineStr">
        <is>
          <t>ピン留め</t>
        </is>
      </c>
      <c r="B6" s="10" t="inlineStr">
        <is>
          <t>プリペアドステートメント、16KB超の文、多くのSET、LOCK TABLES、GET_LOCK で、そのクライアント専用になる</t>
        </is>
      </c>
      <c r="C6" s="10" t="inlineStr">
        <is>
          <t>JBossの1本がAuroraの1本を、クライアント接続の寿命だけ占有する</t>
        </is>
      </c>
    </row>
    <row r="7" ht="42.1" customHeight="1">
      <c r="A7" s="8" t="inlineStr">
        <is>
          <t>JDBCのSET</t>
        </is>
      </c>
      <c r="B7" s="8" t="inlineStr">
        <is>
          <t>文字セット、autocommit、分離レベル、タイムゾーンは追跡対象</t>
        </is>
      </c>
      <c r="C7" s="8" t="inlineStr">
        <is>
          <t>接続のたびにSETするとピン留めになりやすい。初期化クエリとフィルタで揃える</t>
        </is>
      </c>
    </row>
    <row r="8" ht="42.1" customHeight="1">
      <c r="A8" s="10" t="inlineStr">
        <is>
          <t>Connector/J の既定</t>
        </is>
      </c>
      <c r="B8" s="10" t="inlineStr">
        <is>
          <t>useServerPrepStmts は false。すべての PreparedStatement がピン留め、とまでは言えない</t>
        </is>
      </c>
      <c r="C8" s="10" t="inlineStr">
        <is>
          <t>URLで true にしているか、文キャッシュと重なっていないかを見る</t>
        </is>
      </c>
    </row>
    <row r="9" ht="42.1" customHeight="1">
      <c r="A9" s="8" t="inlineStr">
        <is>
          <t>IdleClientTimeout</t>
        </is>
      </c>
      <c r="B9" s="8" t="inlineStr">
        <is>
          <t>30分無活動でクライアントソケットを切る。倉庫接続はProxyの池へ戻し得る</t>
        </is>
      </c>
      <c r="C9" s="8" t="inlineStr">
        <is>
          <t>JBossがInUseのままなら、台帳の枠は残る</t>
        </is>
      </c>
    </row>
    <row r="10" ht="34" customHeight="1">
      <c r="A10" s="10" t="inlineStr">
        <is>
          <t>BorrowTimeout</t>
        </is>
      </c>
      <c r="B10" s="10" t="inlineStr">
        <is>
          <t>Proxyの池が最大のとき120秒待って断る</t>
        </is>
      </c>
      <c r="C10" s="10" t="inlineStr">
        <is>
          <t>JBossの30秒は、この作成待ちを打ち切らない</t>
        </is>
      </c>
    </row>
    <row r="11" ht="42.1" customHeight="1">
      <c r="A11" s="8" t="inlineStr">
        <is>
          <t>max_connections</t>
        </is>
      </c>
      <c r="B11" s="8" t="inlineStr">
        <is>
          <t>最大ACUのメモリから決まり、スケールダウンしても下がらない。変更は再起動後</t>
        </is>
      </c>
      <c r="C11" s="8" t="inlineStr">
        <is>
          <t>今0.5 ACUでも、上限は最大ACUの値のまま</t>
        </is>
      </c>
    </row>
    <row r="12" ht="42.1" customHeight="1">
      <c r="A12" s="10" t="inlineStr">
        <is>
          <t>XA</t>
        </is>
      </c>
      <c r="B12" s="10" t="inlineStr">
        <is>
          <t>STARTからCOMMITまで同じ物理セッションが必要</t>
        </is>
      </c>
      <c r="C12" s="10" t="inlineStr">
        <is>
          <t>Proxyが途中で付け替えると XAER_RMFAIL。公式の禁止一覧には無い</t>
        </is>
      </c>
    </row>
    <row r="13" ht="34" customHeight="1">
      <c r="A13" s="8" t="inlineStr">
        <is>
          <t>最小値の圧力</t>
        </is>
      </c>
      <c r="B13" s="8" t="inlineStr">
        <is>
          <t>バック最小10が2DBで20。台数分が常時開く</t>
        </is>
      </c>
      <c r="C13" s="8" t="inlineStr">
        <is>
          <t>ピン留め時は、仕事が無くてもACUを押し上げる</t>
        </is>
      </c>
    </row>
    <row r="14" ht="34" customHeight="1">
      <c r="A14" s="12" t="n"/>
      <c r="B14" s="12" t="n"/>
      <c r="C14" s="12" t="n"/>
    </row>
    <row r="15" ht="34" customHeight="1">
      <c r="A15" s="13" t="inlineStr">
        <is>
          <t>CloudWatchで並べる値</t>
        </is>
      </c>
      <c r="B15" s="30" t="n"/>
      <c r="C15" s="31" t="n"/>
    </row>
    <row r="16" ht="34" customHeight="1">
      <c r="A16" s="6" t="inlineStr">
        <is>
          <t>指標</t>
        </is>
      </c>
      <c r="B16" s="6" t="inlineStr">
        <is>
          <t>意味</t>
        </is>
      </c>
      <c r="C16" s="6" t="inlineStr">
        <is>
          <t>読み方</t>
        </is>
      </c>
    </row>
    <row r="17" ht="34" customHeight="1">
      <c r="A17" s="8" t="inlineStr">
        <is>
          <t>ClientConnections</t>
        </is>
      </c>
      <c r="B17" s="8" t="inlineStr">
        <is>
          <t>JBossからProxyへの接続</t>
        </is>
      </c>
      <c r="C17" s="8" t="inlineStr">
        <is>
          <t>全体最大の計算と近いなら、プールが開いている</t>
        </is>
      </c>
    </row>
    <row r="18" ht="34" customHeight="1">
      <c r="A18" s="10" t="inlineStr">
        <is>
          <t>DatabaseConnections</t>
        </is>
      </c>
      <c r="B18" s="10" t="inlineStr">
        <is>
          <t>ProxyからAuroraへの接続</t>
        </is>
      </c>
      <c r="C18" s="10" t="inlineStr">
        <is>
          <t>Clientよりずっと少ないなら多重化が効いている</t>
        </is>
      </c>
    </row>
    <row r="19" ht="42.1" customHeight="1">
      <c r="A19" s="8" t="inlineStr">
        <is>
          <t>DatabaseConnectionsCurrentlySessionPinned</t>
        </is>
      </c>
      <c r="B19" s="8" t="inlineStr">
        <is>
          <t>ピン留め中</t>
        </is>
      </c>
      <c r="C19" s="8" t="inlineStr">
        <is>
          <t>Clientに近いなら、多重化はほぼ無効</t>
        </is>
      </c>
    </row>
    <row r="20" ht="42.1" customHeight="1">
      <c r="A20" s="10" t="inlineStr">
        <is>
          <t>DatabaseConnectionsCurrentlyBorrowed</t>
        </is>
      </c>
      <c r="B20" s="10" t="inlineStr">
        <is>
          <t>いまクライアントへ貸している倉庫接続</t>
        </is>
      </c>
      <c r="C20" s="10" t="inlineStr">
        <is>
          <t>高止まりは、トランザクションかピン留め</t>
        </is>
      </c>
    </row>
    <row r="21" ht="34" customHeight="1">
      <c r="A21" s="8" t="inlineStr">
        <is>
          <t>MaxDatabaseConnectionsAllowed</t>
        </is>
      </c>
      <c r="B21" s="8" t="inlineStr">
        <is>
          <t>Proxyが開いてよい上限</t>
        </is>
      </c>
      <c r="C21" s="8" t="inlineStr">
        <is>
          <t>max_connections と百分比の積</t>
        </is>
      </c>
    </row>
    <row r="22" ht="42.1" customHeight="1">
      <c r="A22" s="10" t="inlineStr">
        <is>
          <t>AuroraServerlessDatabaseCapacity など</t>
        </is>
      </c>
      <c r="B22" s="10" t="inlineStr">
        <is>
          <t>現在のACU</t>
        </is>
      </c>
      <c r="C22" s="10" t="inlineStr">
        <is>
          <t>接続のメモリで下限より上に張り付いていないか</t>
        </is>
      </c>
    </row>
  </sheetData>
  <autoFilter ref="A4:C13"/>
  <mergeCells count="4">
    <mergeCell ref="A1:C1"/>
    <mergeCell ref="A3:C3"/>
    <mergeCell ref="A2:C2"/>
    <mergeCell ref="A15:C15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ProxyとAurora&amp;R&amp;"Meiryo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D14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8" customWidth="1" min="1" max="1"/>
    <col width="28" customWidth="1" min="2" max="2"/>
    <col width="62" customWidth="1" min="3" max="3"/>
    <col width="40" customWidth="1" min="4" max="4"/>
  </cols>
  <sheetData>
    <row r="1" ht="36" customHeight="1">
      <c r="A1" s="1" t="inlineStr">
        <is>
          <t>確認の順番</t>
        </is>
      </c>
    </row>
    <row r="2" ht="32" customHeight="1">
      <c r="A2" s="2" t="inlineStr">
        <is>
          <t>エラー文字列の前に、4つのプールの InUse を取ります。</t>
        </is>
      </c>
      <c r="B2" s="30" t="n"/>
      <c r="C2" s="30" t="n"/>
      <c r="D2" s="31" t="n"/>
    </row>
    <row r="3" ht="30" customHeight="1">
      <c r="A3" s="4" t="inlineStr">
        <is>
          <t>アドレスの AppDs は環境のプール名に置き換えます。XAと非XAでサブツリーが違います。</t>
        </is>
      </c>
      <c r="B3" s="30" t="n"/>
      <c r="C3" s="30" t="n"/>
      <c r="D3" s="31" t="n"/>
    </row>
    <row r="4" ht="25.05" customHeight="1">
      <c r="A4" s="6" t="inlineStr">
        <is>
          <t>順</t>
        </is>
      </c>
      <c r="B4" s="6" t="inlineStr">
        <is>
          <t>場所</t>
        </is>
      </c>
      <c r="C4" s="6" t="inlineStr">
        <is>
          <t>操作</t>
        </is>
      </c>
      <c r="D4" s="6" t="inlineStr">
        <is>
          <t>判断</t>
        </is>
      </c>
    </row>
    <row r="5" ht="42.1" customHeight="1">
      <c r="A5" s="28" t="inlineStr">
        <is>
          <t>1</t>
        </is>
      </c>
      <c r="B5" s="26" t="inlineStr">
        <is>
          <t>JBoss CLI</t>
        </is>
      </c>
      <c r="C5" s="26" t="inlineStr">
        <is>
          <t>/subsystem=datasources/xa-data-source=AppDs/statistics=pool:read-resource(include-runtime=true)</t>
        </is>
      </c>
      <c r="D5" s="26" t="inlineStr">
        <is>
          <t>InUseCount と最大値。IdleCount。BlockingFailureCount</t>
        </is>
      </c>
    </row>
    <row r="6" ht="34" customHeight="1">
      <c r="A6" s="29" t="inlineStr">
        <is>
          <t>2</t>
        </is>
      </c>
      <c r="B6" s="27" t="inlineStr">
        <is>
          <t>JBoss CLI</t>
        </is>
      </c>
      <c r="C6" s="27" t="inlineStr">
        <is>
          <t>同じ統計を、インフラDB用プールと、バックの2プールでも取る</t>
        </is>
      </c>
      <c r="D6" s="27" t="inlineStr">
        <is>
          <t>どのプールが最大に張り付いているか</t>
        </is>
      </c>
    </row>
    <row r="7" ht="42.1" customHeight="1">
      <c r="A7" s="28" t="inlineStr">
        <is>
          <t>3</t>
        </is>
      </c>
      <c r="B7" s="26" t="inlineStr">
        <is>
          <t>JBoss CLI</t>
        </is>
      </c>
      <c r="C7" s="26" t="inlineStr">
        <is>
          <t>/subsystem=transactions:read-attribute(name=default-timeout)</t>
        </is>
      </c>
      <c r="D7" s="26" t="inlineStr">
        <is>
          <t>300以外なら、待つ時間をその値に合わせる</t>
        </is>
      </c>
    </row>
    <row r="8" ht="42.1" customHeight="1">
      <c r="A8" s="29" t="inlineStr">
        <is>
          <t>4</t>
        </is>
      </c>
      <c r="B8" s="27" t="inlineStr">
        <is>
          <t>JBoss CLI</t>
        </is>
      </c>
      <c r="C8" s="27" t="inlineStr">
        <is>
          <t>/subsystem=jca/cached-connection-manager=cached-connection-manager:read-resource</t>
        </is>
      </c>
      <c r="D8" s="27" t="inlineStr">
        <is>
          <t>debug が true か。false なら自動回収は走らない</t>
        </is>
      </c>
    </row>
    <row r="9" ht="42.1" customHeight="1">
      <c r="A9" s="28" t="inlineStr">
        <is>
          <t>5</t>
        </is>
      </c>
      <c r="B9" s="26" t="inlineStr">
        <is>
          <t>サーバログ</t>
        </is>
      </c>
      <c r="C9" s="26" t="inlineStr">
        <is>
          <t>IJ000655、IJ000453、IJ000100 を分ける</t>
        </is>
      </c>
      <c r="D9" s="26" t="inlineStr">
        <is>
          <t>655は枠。453は原因例外を見る。100は回収の記録</t>
        </is>
      </c>
    </row>
    <row r="10" ht="34" customHeight="1">
      <c r="A10" s="29" t="inlineStr">
        <is>
          <t>6</t>
        </is>
      </c>
      <c r="B10" s="27" t="inlineStr">
        <is>
          <t>両方のDB</t>
        </is>
      </c>
      <c r="C10" s="27" t="inlineStr">
        <is>
          <t>XA RECOVER;  innodb_trx;  SHOW FULL PROCESSLIST;</t>
        </is>
      </c>
      <c r="D10" s="27" t="inlineStr">
        <is>
          <t>未決着と、ロックを持っているセッション</t>
        </is>
      </c>
    </row>
    <row r="11" ht="42.1" customHeight="1">
      <c r="A11" s="28" t="inlineStr">
        <is>
          <t>7</t>
        </is>
      </c>
      <c r="B11" s="26" t="inlineStr">
        <is>
          <t>両方のDB</t>
        </is>
      </c>
      <c r="C11" s="26" t="inlineStr">
        <is>
          <t>max_connections、Threads_connected、wait_timeout、innodb_lock_wait_timeout</t>
        </is>
      </c>
      <c r="D11" s="26" t="inlineStr">
        <is>
          <t>倉庫の上限と、波の間隔</t>
        </is>
      </c>
    </row>
    <row r="12" ht="42.1" customHeight="1">
      <c r="A12" s="29" t="inlineStr">
        <is>
          <t>8</t>
        </is>
      </c>
      <c r="B12" s="27" t="inlineStr">
        <is>
          <t>CloudWatch</t>
        </is>
      </c>
      <c r="C12" s="27" t="inlineStr">
        <is>
          <t>ClientConnections、DatabaseConnections、SessionPinned、現在ACU</t>
        </is>
      </c>
      <c r="D12" s="27" t="inlineStr">
        <is>
          <t>ピン留めと、倉庫上限への近さ</t>
        </is>
      </c>
    </row>
    <row r="13" ht="34" customHeight="1">
      <c r="A13" s="28" t="inlineStr">
        <is>
          <t>9</t>
        </is>
      </c>
      <c r="B13" s="26" t="inlineStr">
        <is>
          <t>流入を止めて待つ</t>
        </is>
      </c>
      <c r="C13" s="26" t="inlineStr">
        <is>
          <t>default-timeout より少し長くしてから InUse を再取得</t>
        </is>
      </c>
      <c r="D13" s="26" t="inlineStr">
        <is>
          <t>減るなら完了で戻る。減らないなら入替</t>
        </is>
      </c>
    </row>
    <row r="14" ht="42.1" customHeight="1">
      <c r="A14" s="29" t="inlineStr">
        <is>
          <t>10</t>
        </is>
      </c>
      <c r="B14" s="27" t="inlineStr">
        <is>
          <t>スレッドダンプ</t>
        </is>
      </c>
      <c r="C14" s="27" t="inlineStr">
        <is>
          <t>接続取得のスタックで止まっているスレッド</t>
        </is>
      </c>
      <c r="D14" s="27" t="inlineStr">
        <is>
          <t>メソッドの途中なら、CCMはまだ動いていない</t>
        </is>
      </c>
    </row>
  </sheetData>
  <autoFilter ref="A4:D14"/>
  <mergeCells count="3">
    <mergeCell ref="A1:D1"/>
    <mergeCell ref="A3:D3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確認手順&amp;R&amp;"Meiryo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D21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8" customWidth="1" min="1" max="1"/>
    <col width="28" customWidth="1" min="2" max="2"/>
    <col width="55" customWidth="1" min="3" max="3"/>
    <col width="42" customWidth="1" min="4" max="4"/>
  </cols>
  <sheetData>
    <row r="1" ht="36" customHeight="1">
      <c r="A1" s="1" t="inlineStr">
        <is>
          <t>対処の順序    最大値を上げるのは最後です</t>
        </is>
      </c>
    </row>
    <row r="2" ht="32" customHeight="1">
      <c r="A2" s="2" t="inlineStr">
        <is>
          <t>リークで最大に届いているときに最大値を上げると、Auroraの接続とロックが増えます。</t>
        </is>
      </c>
      <c r="B2" s="30" t="n"/>
      <c r="C2" s="30" t="n"/>
      <c r="D2" s="31" t="n"/>
    </row>
    <row r="3" ht="30" customHeight="1">
      <c r="A3" s="4" t="inlineStr">
        <is>
          <t>flush-all はタスク入替に近く、進行中の仕事を失敗させ、PREPARE済みXAを残すことがあります。</t>
        </is>
      </c>
      <c r="B3" s="30" t="n"/>
      <c r="C3" s="30" t="n"/>
      <c r="D3" s="31" t="n"/>
    </row>
    <row r="4" ht="25.05" customHeight="1">
      <c r="A4" s="6" t="inlineStr">
        <is>
          <t>順</t>
        </is>
      </c>
      <c r="B4" s="6" t="inlineStr">
        <is>
          <t>やること</t>
        </is>
      </c>
      <c r="C4" s="6" t="inlineStr">
        <is>
          <t>内容</t>
        </is>
      </c>
      <c r="D4" s="6" t="inlineStr">
        <is>
          <t>避けること</t>
        </is>
      </c>
    </row>
    <row r="5" ht="34" customHeight="1">
      <c r="A5" s="7" t="inlineStr">
        <is>
          <t>1</t>
        </is>
      </c>
      <c r="B5" s="8" t="inlineStr">
        <is>
          <t>4プールの統計</t>
        </is>
      </c>
      <c r="C5" s="8" t="inlineStr">
        <is>
          <t>InUse、Idle、BlockingFailureCount、MaxUsedCount</t>
        </is>
      </c>
      <c r="D5" s="8" t="inlineStr">
        <is>
          <t>1つのプールだけ見て全体を判断する</t>
        </is>
      </c>
    </row>
    <row r="6" ht="34" customHeight="1">
      <c r="A6" s="9" t="inlineStr">
        <is>
          <t>2</t>
        </is>
      </c>
      <c r="B6" s="10" t="inlineStr">
        <is>
          <t>エラー番号を分ける</t>
        </is>
      </c>
      <c r="C6" s="10" t="inlineStr">
        <is>
          <t>655、453の原因、100</t>
        </is>
      </c>
      <c r="D6" s="10" t="inlineStr">
        <is>
          <t>100を、これから空く予告として扱う</t>
        </is>
      </c>
    </row>
    <row r="7" ht="34" customHeight="1">
      <c r="A7" s="7" t="inlineStr">
        <is>
          <t>3</t>
        </is>
      </c>
      <c r="B7" s="8" t="inlineStr">
        <is>
          <t>両方のDBのXA</t>
        </is>
      </c>
      <c r="C7" s="8" t="inlineStr">
        <is>
          <t>XA RECOVER と innodb_trx</t>
        </is>
      </c>
      <c r="D7" s="8" t="inlineStr">
        <is>
          <t>中身を見ずに片側だけ手動決着する</t>
        </is>
      </c>
    </row>
    <row r="8" ht="34" customHeight="1">
      <c r="A8" s="9" t="inlineStr">
        <is>
          <t>4</t>
        </is>
      </c>
      <c r="B8" s="10" t="inlineStr">
        <is>
          <t>ProxyとACU</t>
        </is>
      </c>
      <c r="C8" s="10" t="inlineStr">
        <is>
          <t>ピン留め、上限、現在ACU</t>
        </is>
      </c>
      <c r="D8" s="10" t="inlineStr">
        <is>
          <t>JBossだけ再起動して倉庫の状態を見ない</t>
        </is>
      </c>
    </row>
    <row r="9" ht="42.1" customHeight="1">
      <c r="A9" s="7" t="inlineStr">
        <is>
          <t>5</t>
        </is>
      </c>
      <c r="B9" s="8" t="inlineStr">
        <is>
          <t>流入を止めて待つ</t>
        </is>
      </c>
      <c r="C9" s="8" t="inlineStr">
        <is>
          <t>実効トランザクション秒数の少し先まで</t>
        </is>
      </c>
      <c r="D9" s="8" t="inlineStr">
        <is>
          <t>リクエストを流したまま、減らないと判断する</t>
        </is>
      </c>
    </row>
    <row r="10" ht="34" customHeight="1">
      <c r="A10" s="9" t="inlineStr">
        <is>
          <t>6</t>
        </is>
      </c>
      <c r="B10" s="10" t="inlineStr">
        <is>
          <t>減らないタスクだけ入替</t>
        </is>
      </c>
      <c r="C10" s="10" t="inlineStr">
        <is>
          <t>JVMの台帳を捨てる</t>
        </is>
      </c>
      <c r="D10" s="10" t="inlineStr">
        <is>
          <t>XAの行があるのに、ストア無しで捨てる</t>
        </is>
      </c>
    </row>
    <row r="11" ht="34" customHeight="1">
      <c r="A11" s="7" t="inlineStr">
        <is>
          <t>7</t>
        </is>
      </c>
      <c r="B11" s="8" t="inlineStr">
        <is>
          <t>入替の重なり</t>
        </is>
      </c>
      <c r="C11" s="8" t="inlineStr">
        <is>
          <t>旧使用中と新最小が同時に開くことを織り込む</t>
        </is>
      </c>
      <c r="D11" s="8" t="inlineStr">
        <is>
          <t>上限ぎりぎりで全台を一度に入れ替える</t>
        </is>
      </c>
    </row>
    <row r="12" ht="34" customHeight="1">
      <c r="A12" s="9" t="inlineStr">
        <is>
          <t>8</t>
        </is>
      </c>
      <c r="B12" s="10" t="inlineStr">
        <is>
          <t>閉じ忘れの修正</t>
        </is>
      </c>
      <c r="C12" s="10" t="inlineStr">
        <is>
          <t>100のスタックが開いた場所</t>
        </is>
      </c>
      <c r="D12" s="10" t="inlineStr">
        <is>
          <t>修正前に debug を戻して回収を止める</t>
        </is>
      </c>
    </row>
    <row r="13" ht="42.1" customHeight="1">
      <c r="A13" s="7" t="inlineStr">
        <is>
          <t>9</t>
        </is>
      </c>
      <c r="B13" s="8" t="inlineStr">
        <is>
          <t>検証とソケット</t>
        </is>
      </c>
      <c r="C13" s="8" t="inlineStr">
        <is>
          <t>validate-on-match か background-validation のどちらか。MySQL例外ソータ。socketTimeout</t>
        </is>
      </c>
      <c r="D13" s="8" t="inlineStr">
        <is>
          <t>両方の検証を同時にtrueにする。idleとblockingを同じ目的の数字にする</t>
        </is>
      </c>
    </row>
    <row r="14" ht="34" customHeight="1">
      <c r="A14" s="9" t="inlineStr">
        <is>
          <t>10</t>
        </is>
      </c>
      <c r="B14" s="10" t="inlineStr">
        <is>
          <t>最大値の見直し</t>
        </is>
      </c>
      <c r="C14" s="10" t="inlineStr">
        <is>
          <t>正常時の MaxUsedCount より一段上か</t>
        </is>
      </c>
      <c r="D14" s="10" t="inlineStr">
        <is>
          <t>リークの塞がりを、最大値の増量で吸収する</t>
        </is>
      </c>
    </row>
    <row r="15" ht="34" customHeight="1">
      <c r="A15" s="12" t="n"/>
      <c r="B15" s="12" t="n"/>
      <c r="C15" s="12" t="n"/>
      <c r="D15" s="12" t="n"/>
    </row>
    <row r="16" ht="34" customHeight="1">
      <c r="A16" s="13" t="inlineStr">
        <is>
          <t>フラッシュと入替の違い</t>
        </is>
      </c>
      <c r="B16" s="30" t="n"/>
      <c r="C16" s="30" t="n"/>
      <c r="D16" s="31" t="n"/>
    </row>
    <row r="17" ht="34" customHeight="1">
      <c r="A17" s="6" t="inlineStr">
        <is>
          <t>操作</t>
        </is>
      </c>
      <c r="B17" s="6" t="inlineStr">
        <is>
          <t>棚</t>
        </is>
      </c>
      <c r="C17" s="6" t="inlineStr">
        <is>
          <t>使用中</t>
        </is>
      </c>
      <c r="D17" s="6" t="inlineStr">
        <is>
          <t>XA</t>
        </is>
      </c>
    </row>
    <row r="18" ht="76.2" customHeight="1">
      <c r="A18" s="8" t="inlineStr">
        <is>
          <t>flush-idle-connection-in-pool</t>
        </is>
      </c>
      <c r="B18" s="8" t="inlineStr">
        <is>
          <t>捨てる</t>
        </is>
      </c>
      <c r="C18" s="8" t="inlineStr">
        <is>
          <t>残る</t>
        </is>
      </c>
      <c r="D18" s="8" t="inlineStr">
        <is>
          <t>満杯は解消しない</t>
        </is>
      </c>
    </row>
    <row r="19" ht="93.25" customHeight="1">
      <c r="A19" s="10" t="inlineStr">
        <is>
          <t>flush-gracefully-connection-in-pool</t>
        </is>
      </c>
      <c r="B19" s="10" t="inlineStr">
        <is>
          <t>すぐ捨てる</t>
        </is>
      </c>
      <c r="C19" s="10" t="inlineStr">
        <is>
          <t>返却されたときに捨てる</t>
        </is>
      </c>
      <c r="D19" s="10" t="inlineStr">
        <is>
          <t>返ってこない接続は残る</t>
        </is>
      </c>
    </row>
    <row r="20" ht="76.2" customHeight="1">
      <c r="A20" s="8" t="inlineStr">
        <is>
          <t>flush-all-connection-in-pool</t>
        </is>
      </c>
      <c r="B20" s="8" t="inlineStr">
        <is>
          <t>捨てる</t>
        </is>
      </c>
      <c r="C20" s="8" t="inlineStr">
        <is>
          <t>すぐ破棄。実行中は失敗</t>
        </is>
      </c>
      <c r="D20" s="8" t="inlineStr">
        <is>
          <t>PREPARE済みがDBに残り得る。本番非推奨</t>
        </is>
      </c>
    </row>
    <row r="21" ht="42.1" customHeight="1">
      <c r="A21" s="10" t="inlineStr">
        <is>
          <t>タスクの入れ替え</t>
        </is>
      </c>
      <c r="B21" s="10" t="inlineStr">
        <is>
          <t>JVMごと消える</t>
        </is>
      </c>
      <c r="C21" s="10" t="inlineStr">
        <is>
          <t>台帳が消える</t>
        </is>
      </c>
      <c r="D21" s="10" t="inlineStr">
        <is>
          <t>ストアが一時ディスクなら未決着は残る</t>
        </is>
      </c>
    </row>
  </sheetData>
  <autoFilter ref="A4:D14"/>
  <mergeCells count="4">
    <mergeCell ref="A1:D1"/>
    <mergeCell ref="A16:D16"/>
    <mergeCell ref="A3:D3"/>
    <mergeCell ref="A2:D2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対処&amp;R&amp;"Meiryo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B20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32" customWidth="1" min="1" max="1"/>
    <col width="70" customWidth="1" min="2" max="2"/>
  </cols>
  <sheetData>
    <row r="1" ht="36" customHeight="1">
      <c r="A1" s="1" t="inlineStr">
        <is>
          <t>用語</t>
        </is>
      </c>
    </row>
    <row r="2" ht="32" customHeight="1">
      <c r="A2" s="2" t="inlineStr">
        <is>
          <t>同じ「タイムアウト」でも、待っている相手が違います。</t>
        </is>
      </c>
      <c r="B2" s="31" t="n"/>
    </row>
    <row r="3" ht="30" customHeight="1">
      <c r="A3" s="4" t="inlineStr">
        <is>
          <t>読みながら 06_タイムアウト辞典 と行き来できるように、短い定義だけを置いています。</t>
        </is>
      </c>
      <c r="B3" s="31" t="n"/>
    </row>
    <row r="4" ht="25.05" customHeight="1">
      <c r="A4" s="6" t="inlineStr">
        <is>
          <t>用語</t>
        </is>
      </c>
      <c r="B4" s="6" t="inlineStr">
        <is>
          <t>意味</t>
        </is>
      </c>
    </row>
    <row r="5" ht="42.1" customHeight="1">
      <c r="A5" s="8" t="inlineStr">
        <is>
          <t>IronJacamar</t>
        </is>
      </c>
      <c r="B5" s="8" t="inlineStr">
        <is>
          <t>EAPの標準データソースが使う接続管理。エラー番号は IJ。EAP 8.1 は 3.0.14.Final。</t>
        </is>
      </c>
    </row>
    <row r="6" ht="42.1" customHeight="1">
      <c r="A6" s="10" t="inlineStr">
        <is>
          <t>Narayana</t>
        </is>
      </c>
      <c r="B6" s="10" t="inlineStr">
        <is>
          <t>EAPのトランザクションマネージャ。2つのDBへの2PCを進める。EAP 8.1 は 7.1.2.Final。</t>
        </is>
      </c>
    </row>
    <row r="7" ht="42.1" customHeight="1">
      <c r="A7" s="8" t="inlineStr">
        <is>
          <t>CCM</t>
        </is>
      </c>
      <c r="B7" s="8" t="inlineStr">
        <is>
          <t>呼び出しのあいだ接続を覚える仕組み。3.0.14 では debug が true のときだけ、閉じ忘れを閉じる。</t>
        </is>
      </c>
    </row>
    <row r="8" ht="34" customHeight="1">
      <c r="A8" s="10" t="inlineStr">
        <is>
          <t>2PC</t>
        </is>
      </c>
      <c r="B8" s="10" t="inlineStr">
        <is>
          <t>準備ができたかを両方に聞いてから、両方を確定する手順。</t>
        </is>
      </c>
    </row>
    <row r="9" ht="34" customHeight="1">
      <c r="A9" s="8" t="inlineStr">
        <is>
          <t>XID</t>
        </is>
      </c>
      <c r="B9" s="8" t="inlineStr">
        <is>
          <t>グローバルトランザクションの識別子。XA RECOVER で見える。</t>
        </is>
      </c>
    </row>
    <row r="10" ht="34" customHeight="1">
      <c r="A10" s="10" t="inlineStr">
        <is>
          <t>InUse</t>
        </is>
      </c>
      <c r="B10" s="10" t="inlineStr">
        <is>
          <t>プールから出ている状態。トランザクションが保留している接続も含む。</t>
        </is>
      </c>
    </row>
    <row r="11" ht="34" customHeight="1">
      <c r="A11" s="8" t="inlineStr">
        <is>
          <t>Idle</t>
        </is>
      </c>
      <c r="B11" s="8" t="inlineStr">
        <is>
          <t>棚に戻っている状態。idle-timeout の対象はここ。</t>
        </is>
      </c>
    </row>
    <row r="12" ht="34" customHeight="1">
      <c r="A12" s="10" t="inlineStr">
        <is>
          <t>ピン留め</t>
        </is>
      </c>
      <c r="B12" s="10" t="inlineStr">
        <is>
          <t>Proxyが、そのクライアント専用にAurora接続を固定すること。</t>
        </is>
      </c>
    </row>
    <row r="13" ht="42.1" customHeight="1">
      <c r="A13" s="8" t="inlineStr">
        <is>
          <t>多重化</t>
        </is>
      </c>
      <c r="B13" s="8" t="inlineStr">
        <is>
          <t>1本のAurora接続を、トランザクション単位で複数のクライアントが使うこと。</t>
        </is>
      </c>
    </row>
    <row r="14" ht="42.1" customHeight="1">
      <c r="A14" s="10" t="inlineStr">
        <is>
          <t>ACU</t>
        </is>
      </c>
      <c r="B14" s="10" t="inlineStr">
        <is>
          <t>Aurora Serverless v2 の容量単位。おおよそメモリ2GiB。接続上限は最大ACUから決まる。</t>
        </is>
      </c>
    </row>
    <row r="15" ht="34" customHeight="1">
      <c r="A15" s="8" t="inlineStr">
        <is>
          <t>IJ000655</t>
        </is>
      </c>
      <c r="B15" s="8" t="inlineStr">
        <is>
          <t>最大値まで貸し出し済みで、待ち時間が切れた。</t>
        </is>
      </c>
    </row>
    <row r="16" ht="34" customHeight="1">
      <c r="A16" s="10" t="inlineStr">
        <is>
          <t>IJ000453</t>
        </is>
      </c>
      <c r="B16" s="10" t="inlineStr">
        <is>
          <t>管理接続を取れなかった。枠不足のことも、作成先の拒否のこともある。</t>
        </is>
      </c>
    </row>
    <row r="17" ht="34" customHeight="1">
      <c r="A17" s="8" t="inlineStr">
        <is>
          <t>IJ000100</t>
        </is>
      </c>
      <c r="B17" s="8" t="inlineStr">
        <is>
          <t>サーバがハンドルを閉じた記録。これから空く予告ではない。</t>
        </is>
      </c>
    </row>
    <row r="18" ht="34" customHeight="1">
      <c r="A18" s="10" t="inlineStr">
        <is>
          <t>pool-use-strict-min</t>
        </is>
      </c>
      <c r="B18" s="10" t="inlineStr">
        <is>
          <t>true なら最小値を下回って破棄しない。既定は false。</t>
        </is>
      </c>
    </row>
    <row r="19" ht="34" customHeight="1">
      <c r="A19" s="8" t="inlineStr">
        <is>
          <t>pool-prefill</t>
        </is>
      </c>
      <c r="B19" s="8" t="inlineStr">
        <is>
          <t>起動時に最小値まで満たすか。既定は false。初期値とは別。</t>
        </is>
      </c>
    </row>
    <row r="20" ht="34" customHeight="1">
      <c r="A20" s="10" t="inlineStr">
        <is>
          <t>Agroal</t>
        </is>
      </c>
      <c r="B20" s="10" t="inlineStr">
        <is>
          <t>別サブシステムのプール。leak-timeout を持てる。今回の属性名とは別。</t>
        </is>
      </c>
    </row>
  </sheetData>
  <autoFilter ref="A4:B20"/>
  <mergeCells count="3">
    <mergeCell ref="A3:B3"/>
    <mergeCell ref="A2:B2"/>
    <mergeCell ref="A1:B1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用語&amp;R&amp;"Meiryo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B22"/>
  <sheetViews>
    <sheetView showGridLines="0" view="normal" zoomScale="110" zoomScaleNormal="110" workbookViewId="0">
      <pane ySplit="4" topLeftCell="A5" activePane="bottomLeft" state="frozen"/>
      <selection pane="bottomLeft" activeCell="A1" sqref="A1"/>
    </sheetView>
  </sheetViews>
  <sheetFormatPr baseColWidth="10" defaultColWidth="12" defaultRowHeight="18"/>
  <cols>
    <col width="28" customWidth="1" min="1" max="1"/>
    <col width="78" customWidth="1" min="2" max="2"/>
  </cols>
  <sheetData>
    <row r="1" ht="36" customHeight="1">
      <c r="A1" s="1" t="inlineStr">
        <is>
          <t>出典と、この資料で確認できていないこと</t>
        </is>
      </c>
    </row>
    <row r="2" ht="32" customHeight="1">
      <c r="A2" s="2" t="inlineStr">
        <is>
          <t>調査日は 2026-10-17。ワークスペースにデータソース定義は無く、実行中の統計も取っていません。</t>
        </is>
      </c>
      <c r="B2" s="31" t="n"/>
    </row>
    <row r="3" ht="30" customHeight="1">
      <c r="A3" s="4" t="inlineStr">
        <is>
          <t>既定値と違う設定がファイルにあれば、ファイルが優先します。</t>
        </is>
      </c>
      <c r="B3" s="31" t="n"/>
    </row>
    <row r="4" ht="25.05" customHeight="1">
      <c r="A4" s="6" t="inlineStr">
        <is>
          <t>出典</t>
        </is>
      </c>
      <c r="B4" s="6" t="inlineStr">
        <is>
          <t>使った内容</t>
        </is>
      </c>
    </row>
    <row r="5" ht="42.1" customHeight="1">
      <c r="A5" s="8" t="inlineStr">
        <is>
          <t>Red Hat EAP 8.1 設定ガイド</t>
        </is>
      </c>
      <c r="B5" s="8" t="inlineStr">
        <is>
          <t>データソース管理。トランザクションの default-timeout は300秒。maximum-timeout は31536000秒。</t>
        </is>
      </c>
    </row>
    <row r="6" ht="42.1" customHeight="1">
      <c r="A6" s="10" t="inlineStr">
        <is>
          <t>Red Hat コンポーネント一覧 2026-09-23</t>
        </is>
      </c>
      <c r="B6" s="10" t="inlineStr">
        <is>
          <t>EAP 8.1 の IronJacamar 3.0.14.Final、Narayana 7.1.2.Final。</t>
        </is>
      </c>
    </row>
    <row r="7" ht="34" customHeight="1">
      <c r="A7" s="8" t="inlineStr">
        <is>
          <t>RHEA-2025:14895</t>
        </is>
      </c>
      <c r="B7" s="8" t="inlineStr">
        <is>
          <t>EAP 8.1.0 の ironjacamar パッケージが 3.0.14。</t>
        </is>
      </c>
    </row>
    <row r="8" ht="42.1" customHeight="1">
      <c r="A8" s="10" t="inlineStr">
        <is>
          <t>IronJacamar 3.0.14 CachedConnectionManagerImpl</t>
        </is>
      </c>
      <c r="B8" s="10" t="inlineStr">
        <is>
          <t>debug が true のときだけ closeAll。トランザクション中は afterCompletion で close。</t>
        </is>
      </c>
    </row>
    <row r="9" ht="42.1" customHeight="1">
      <c r="A9" s="8" t="inlineStr">
        <is>
          <t>JBJCA-1490 と ironjacamar issue 856</t>
        </is>
      </c>
      <c r="B9" s="8" t="inlineStr">
        <is>
          <t>isTimedOut は返却時刻が貸出時刻より新しい接続だけ。issue は調査日時点で未完了。</t>
        </is>
      </c>
    </row>
    <row r="10" ht="34" customHeight="1">
      <c r="A10" s="10" t="inlineStr">
        <is>
          <t>Red Hat ソリューション</t>
        </is>
      </c>
      <c r="B10" s="10" t="inlineStr">
        <is>
          <t>idle-timeout の見回り、フラッシュ3種、CCM debug、検証の推奨。</t>
        </is>
      </c>
    </row>
    <row r="11" ht="42.1" customHeight="1">
      <c r="A11" s="8" t="inlineStr">
        <is>
          <t>AWS Aurora User Guide 2026-10</t>
        </is>
      </c>
      <c r="B11" s="8" t="inlineStr">
        <is>
          <t>Proxyの制限、ピン留め、IdleClientTimeout 1800秒、BorrowTimeout 120秒、MaxConnectionsPercent 100、MaxIdle 50。</t>
        </is>
      </c>
    </row>
    <row r="12" ht="42.1" customHeight="1">
      <c r="A12" s="10" t="inlineStr">
        <is>
          <t>AWS Aurora Serverless の性能</t>
        </is>
      </c>
      <c r="B12" s="10" t="inlineStr">
        <is>
          <t>MySQL の最大ACUごとの既定 max_connections。現在ACUではなく最大ACU。</t>
        </is>
      </c>
    </row>
    <row r="13" ht="34" customHeight="1">
      <c r="A13" s="8" t="inlineStr">
        <is>
          <t>MySQL 8.4 XA</t>
        </is>
      </c>
      <c r="B13" s="8" t="inlineStr">
        <is>
          <t>InnoDB が対象。外部XAではサーバがリソースマネージャ。</t>
        </is>
      </c>
    </row>
    <row r="14" ht="34" customHeight="1">
      <c r="A14" s="12" t="n"/>
      <c r="B14" s="12" t="n"/>
    </row>
    <row r="15" ht="34" customHeight="1">
      <c r="A15" s="13" t="inlineStr">
        <is>
          <t>確認できていないこと</t>
        </is>
      </c>
      <c r="B15" s="31" t="n"/>
    </row>
    <row r="16" ht="34" customHeight="1">
      <c r="A16" s="6" t="inlineStr">
        <is>
          <t>項目</t>
        </is>
      </c>
      <c r="B16" s="6" t="inlineStr">
        <is>
          <t>扱い</t>
        </is>
      </c>
    </row>
    <row r="17" ht="42.1" customHeight="1">
      <c r="A17" s="8" t="inlineStr">
        <is>
          <t>実ファイルのタイムアウト、debug、検証、JDBC URL</t>
        </is>
      </c>
      <c r="B17" s="8" t="inlineStr">
        <is>
          <t>資料の秒数は既定。実値をCLIで読む</t>
        </is>
      </c>
    </row>
    <row r="18" ht="34" customHeight="1">
      <c r="A18" s="10" t="inlineStr">
        <is>
          <t>タスク台数と最大ACU</t>
        </is>
      </c>
      <c r="B18" s="10" t="inlineStr">
        <is>
          <t>04_構成と数 の灰色セルがサンプル。台数を入れて計算する</t>
        </is>
      </c>
    </row>
    <row r="19" ht="34" customHeight="1">
      <c r="A19" s="8" t="inlineStr">
        <is>
          <t>データソースがXAか</t>
        </is>
      </c>
      <c r="B19" s="8" t="inlineStr">
        <is>
          <t>2PCならXAデータソースが必要、という前提で書いた</t>
        </is>
      </c>
    </row>
    <row r="20" ht="42.1" customHeight="1">
      <c r="A20" s="10" t="inlineStr">
        <is>
          <t>実際のログ番号と InUse の値</t>
        </is>
      </c>
      <c r="B20" s="10" t="inlineStr">
        <is>
          <t>07_判定 は、取ったあとの読み方</t>
        </is>
      </c>
    </row>
    <row r="21" ht="42.1" customHeight="1">
      <c r="A21" s="8" t="inlineStr">
        <is>
          <t>issue 856 の式が 3.0.14 で改訂済みか</t>
        </is>
      </c>
      <c r="B21" s="8" t="inlineStr">
        <is>
          <t>未使用の空き接続に限る話として書いた。貸し出し中が時間で返る根拠にはしていない</t>
        </is>
      </c>
    </row>
    <row r="22" ht="42.1" customHeight="1">
      <c r="A22" s="10" t="inlineStr">
        <is>
          <t>ProxyがMySQLのXAを公式サポートするか</t>
        </is>
      </c>
      <c r="B22" s="10" t="inlineStr">
        <is>
          <t>制限一覧に禁止もサポートも見当たらなかった、という範囲</t>
        </is>
      </c>
    </row>
  </sheetData>
  <autoFilter ref="A4:B13"/>
  <mergeCells count="4">
    <mergeCell ref="A3:B3"/>
    <mergeCell ref="A2:B2"/>
    <mergeCell ref="A1:B1"/>
    <mergeCell ref="A15:B15"/>
  </mergeCells>
  <printOptions horizontalCentered="1"/>
  <pageMargins left="0.45" right="0.45" top="0.75" bottom="0.6" header="0.28" footer="0.28"/>
  <pageSetup orientation="landscape" paperSize="8" scale="70" fitToHeight="0" fitToWidth="1" pageOrder="downThenOver"/>
  <headerFooter>
    <oddHeader>&amp;L&amp;"Meiryo UI"&amp;"Meiryo UI"&amp;8 JBoss EAP 8.1  DBコネクションプール&amp;C&amp;"Meiryo UI,Bold"&amp;9 出典と限界&amp;R&amp;"Meiryo UI"&amp;8 2026-10-17</oddHeader>
    <oddFooter>&amp;L&amp;"Meiryo UI"&amp;8 既定値は実設定が優先。モノトーン / Meiryo UI&amp;R&amp;"Meiryo UI"&amp;8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JBoss EAP pool explanation</dc:creator>
  <dc:title xmlns:dc="http://purl.org/dc/elements/1.1/">JBoss EAP 8.1 DBコネクションプール解説</dc:title>
  <dc:description xmlns:dc="http://purl.org/dc/elements/1.1/">Meiryo UI、モノトーン。EAP 8.1 / IronJacamar 3.0.14 / Narayana / RDS Proxy / Aurora Serverless v2 MySQL 8.4。調査日 2026-10-17。</dc:description>
  <dc:subject xmlns:dc="http://purl.org/dc/elements/1.1/">コネクションリーク時に待てば空くか、タスク入替が必要か</dc:subject>
  <dcterms:created xmlns:dcterms="http://purl.org/dc/terms/" xmlns:xsi="http://www.w3.org/2001/XMLSchema-instance" xsi:type="dcterms:W3CDTF">2026-10-16T19:15:35Z</dcterms:created>
  <dcterms:modified xmlns:dcterms="http://purl.org/dc/terms/" xmlns:xsi="http://www.w3.org/2001/XMLSchema-instance" xsi:type="dcterms:W3CDTF">2026-10-16T19:17:40Z</dcterms:modified>
  <cp:category>運用解説</cp:category>
  <cp:keywords>JBoss EAP, IronJacamar, Narayana, RDS Proxy, Aurora, connection pool</cp:keywords>
</cp:coreProperties>
</file>